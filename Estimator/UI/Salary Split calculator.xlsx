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visainc-my.sharepoint.com/personal/swrajaku_visa_com/Documents/Personal/"/>
    </mc:Choice>
  </mc:AlternateContent>
  <xr:revisionPtr revIDLastSave="996" documentId="11_F25DC773A252ABDACC10485141DC79185BDE58F2" xr6:coauthVersionLast="47" xr6:coauthVersionMax="47" xr10:uidLastSave="{82151B27-F302-4383-A12C-18245F10D1A9}"/>
  <bookViews>
    <workbookView xWindow="-30828" yWindow="-3552" windowWidth="30936" windowHeight="16776" activeTab="1" xr2:uid="{00000000-000D-0000-FFFF-FFFF00000000}"/>
  </bookViews>
  <sheets>
    <sheet name="Budget" sheetId="1" r:id="rId1"/>
    <sheet name="Actual 2026" sheetId="2" r:id="rId2"/>
    <sheet name="Expense and Savings" sheetId="4" r:id="rId3"/>
    <sheet name="Detailed Expenses" sheetId="3" r:id="rId4"/>
    <sheet name="Sheet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" i="3" l="1"/>
  <c r="M47" i="4"/>
  <c r="M43" i="4"/>
  <c r="M40" i="4"/>
  <c r="M37" i="4"/>
  <c r="M35" i="4"/>
  <c r="M20" i="4"/>
  <c r="M16" i="4"/>
  <c r="L4" i="2"/>
  <c r="K13" i="4" l="1"/>
  <c r="J13" i="4"/>
  <c r="I13" i="4"/>
  <c r="H13" i="4"/>
  <c r="G13" i="4"/>
  <c r="F13" i="4"/>
  <c r="K12" i="4"/>
  <c r="J12" i="4"/>
  <c r="I12" i="4"/>
  <c r="H12" i="4"/>
  <c r="G12" i="4"/>
  <c r="F12" i="4"/>
  <c r="K11" i="4"/>
  <c r="J11" i="4"/>
  <c r="I11" i="4"/>
  <c r="H11" i="4"/>
  <c r="G11" i="4"/>
  <c r="F11" i="4"/>
  <c r="K10" i="4"/>
  <c r="J10" i="4"/>
  <c r="I10" i="4"/>
  <c r="H10" i="4"/>
  <c r="G10" i="4"/>
  <c r="F10" i="4"/>
  <c r="K9" i="4"/>
  <c r="J9" i="4"/>
  <c r="I9" i="4"/>
  <c r="H9" i="4"/>
  <c r="K8" i="4"/>
  <c r="J8" i="4"/>
  <c r="I8" i="4"/>
  <c r="H8" i="4"/>
  <c r="G8" i="4"/>
  <c r="F8" i="4"/>
  <c r="K20" i="4"/>
  <c r="J20" i="4"/>
  <c r="I20" i="4"/>
  <c r="H20" i="4"/>
  <c r="G20" i="4"/>
  <c r="F20" i="4"/>
  <c r="K27" i="4"/>
  <c r="J27" i="4"/>
  <c r="I27" i="4"/>
  <c r="H27" i="4"/>
  <c r="G27" i="4"/>
  <c r="F27" i="4"/>
  <c r="K26" i="4"/>
  <c r="J26" i="4"/>
  <c r="I26" i="4"/>
  <c r="H26" i="4"/>
  <c r="G26" i="4"/>
  <c r="F26" i="4"/>
  <c r="K25" i="4"/>
  <c r="J25" i="4"/>
  <c r="I25" i="4"/>
  <c r="H25" i="4"/>
  <c r="G25" i="4"/>
  <c r="F25" i="4"/>
  <c r="K24" i="4"/>
  <c r="J24" i="4"/>
  <c r="I24" i="4"/>
  <c r="H24" i="4"/>
  <c r="G24" i="4"/>
  <c r="F24" i="4"/>
  <c r="K23" i="4"/>
  <c r="J23" i="4"/>
  <c r="I23" i="4"/>
  <c r="H23" i="4"/>
  <c r="G23" i="4"/>
  <c r="F23" i="4"/>
  <c r="K19" i="4"/>
  <c r="K47" i="4"/>
  <c r="J47" i="4"/>
  <c r="I47" i="4"/>
  <c r="H47" i="4"/>
  <c r="G47" i="4"/>
  <c r="F47" i="4"/>
  <c r="E47" i="4"/>
  <c r="K46" i="4"/>
  <c r="J46" i="4"/>
  <c r="J19" i="4" s="1"/>
  <c r="I46" i="4"/>
  <c r="I19" i="4" s="1"/>
  <c r="H46" i="4"/>
  <c r="H19" i="4" s="1"/>
  <c r="G46" i="4"/>
  <c r="G19" i="4" s="1"/>
  <c r="F46" i="4"/>
  <c r="F19" i="4" s="1"/>
  <c r="K45" i="4"/>
  <c r="K18" i="4" s="1"/>
  <c r="J45" i="4"/>
  <c r="J18" i="4" s="1"/>
  <c r="I45" i="4"/>
  <c r="I18" i="4" s="1"/>
  <c r="H45" i="4"/>
  <c r="H18" i="4" s="1"/>
  <c r="G45" i="4"/>
  <c r="G18" i="4" s="1"/>
  <c r="F45" i="4"/>
  <c r="F18" i="4" s="1"/>
  <c r="K44" i="4"/>
  <c r="K17" i="4" s="1"/>
  <c r="J44" i="4"/>
  <c r="J17" i="4" s="1"/>
  <c r="I44" i="4"/>
  <c r="I17" i="4" s="1"/>
  <c r="H44" i="4"/>
  <c r="H17" i="4" s="1"/>
  <c r="G44" i="4"/>
  <c r="G17" i="4" s="1"/>
  <c r="F44" i="4"/>
  <c r="F17" i="4" s="1"/>
  <c r="K43" i="4"/>
  <c r="K16" i="4" s="1"/>
  <c r="J43" i="4"/>
  <c r="J16" i="4" s="1"/>
  <c r="I43" i="4"/>
  <c r="I16" i="4" s="1"/>
  <c r="H43" i="4"/>
  <c r="H16" i="4" s="1"/>
  <c r="G43" i="4"/>
  <c r="G16" i="4" s="1"/>
  <c r="F43" i="4"/>
  <c r="F16" i="4" s="1"/>
  <c r="E43" i="4"/>
  <c r="K40" i="4"/>
  <c r="J40" i="4"/>
  <c r="I40" i="4"/>
  <c r="H40" i="4"/>
  <c r="G40" i="4"/>
  <c r="F40" i="4"/>
  <c r="E40" i="4"/>
  <c r="K39" i="4"/>
  <c r="J39" i="4"/>
  <c r="I39" i="4"/>
  <c r="H39" i="4"/>
  <c r="G39" i="4"/>
  <c r="F39" i="4"/>
  <c r="K38" i="4"/>
  <c r="J38" i="4"/>
  <c r="I38" i="4"/>
  <c r="H38" i="4"/>
  <c r="G38" i="4"/>
  <c r="F38" i="4"/>
  <c r="K37" i="4"/>
  <c r="J37" i="4"/>
  <c r="I37" i="4"/>
  <c r="H37" i="4"/>
  <c r="G37" i="4"/>
  <c r="F37" i="4"/>
  <c r="E37" i="4"/>
  <c r="K36" i="4"/>
  <c r="J36" i="4"/>
  <c r="I36" i="4"/>
  <c r="H36" i="4"/>
  <c r="K35" i="4"/>
  <c r="J35" i="4"/>
  <c r="I35" i="4"/>
  <c r="H35" i="4"/>
  <c r="G35" i="4"/>
  <c r="F35" i="4"/>
  <c r="E35" i="4"/>
  <c r="L79" i="3"/>
  <c r="K79" i="3"/>
  <c r="J79" i="3"/>
  <c r="I79" i="3"/>
  <c r="H79" i="3"/>
  <c r="G79" i="3"/>
  <c r="F79" i="3"/>
  <c r="E27" i="4" s="1"/>
  <c r="M27" i="4" s="1"/>
  <c r="L76" i="3"/>
  <c r="K76" i="3"/>
  <c r="J76" i="3"/>
  <c r="I76" i="3"/>
  <c r="H76" i="3"/>
  <c r="G76" i="3"/>
  <c r="F76" i="3"/>
  <c r="E26" i="4" s="1"/>
  <c r="M26" i="4" s="1"/>
  <c r="L73" i="3"/>
  <c r="K73" i="3"/>
  <c r="J73" i="3"/>
  <c r="I73" i="3"/>
  <c r="H73" i="3"/>
  <c r="G73" i="3"/>
  <c r="F73" i="3"/>
  <c r="E25" i="4" s="1"/>
  <c r="M25" i="4" s="1"/>
  <c r="L70" i="3"/>
  <c r="K70" i="3"/>
  <c r="J70" i="3"/>
  <c r="I70" i="3"/>
  <c r="H70" i="3"/>
  <c r="G70" i="3"/>
  <c r="F70" i="3"/>
  <c r="E24" i="4" s="1"/>
  <c r="M24" i="4" s="1"/>
  <c r="L67" i="3"/>
  <c r="K67" i="3"/>
  <c r="J67" i="3"/>
  <c r="I67" i="3"/>
  <c r="H67" i="3"/>
  <c r="G67" i="3"/>
  <c r="F67" i="3"/>
  <c r="E23" i="4" s="1"/>
  <c r="M23" i="4" s="1"/>
  <c r="L62" i="3"/>
  <c r="K62" i="3"/>
  <c r="J62" i="3"/>
  <c r="I62" i="3"/>
  <c r="H62" i="3"/>
  <c r="G62" i="3"/>
  <c r="F62" i="3"/>
  <c r="L58" i="3"/>
  <c r="K58" i="3"/>
  <c r="J58" i="3"/>
  <c r="I58" i="3"/>
  <c r="H58" i="3"/>
  <c r="G58" i="3"/>
  <c r="F58" i="3"/>
  <c r="E46" i="4" s="1"/>
  <c r="M46" i="4" s="1"/>
  <c r="L54" i="3"/>
  <c r="K54" i="3"/>
  <c r="J54" i="3"/>
  <c r="I54" i="3"/>
  <c r="H54" i="3"/>
  <c r="G54" i="3"/>
  <c r="F54" i="3"/>
  <c r="E45" i="4" s="1"/>
  <c r="M45" i="4" s="1"/>
  <c r="L46" i="3"/>
  <c r="K46" i="3"/>
  <c r="J46" i="3"/>
  <c r="I46" i="3"/>
  <c r="H46" i="3"/>
  <c r="G46" i="3"/>
  <c r="F46" i="3"/>
  <c r="E44" i="4" s="1"/>
  <c r="M44" i="4" s="1"/>
  <c r="L42" i="3"/>
  <c r="K42" i="3"/>
  <c r="J42" i="3"/>
  <c r="I42" i="3"/>
  <c r="H42" i="3"/>
  <c r="G42" i="3"/>
  <c r="F42" i="3"/>
  <c r="L36" i="3"/>
  <c r="K36" i="3"/>
  <c r="J36" i="3"/>
  <c r="I36" i="3"/>
  <c r="H36" i="3"/>
  <c r="G36" i="3"/>
  <c r="F36" i="3"/>
  <c r="L32" i="3"/>
  <c r="K32" i="3"/>
  <c r="J32" i="3"/>
  <c r="I32" i="3"/>
  <c r="H32" i="3"/>
  <c r="G32" i="3"/>
  <c r="F32" i="3"/>
  <c r="E39" i="4" s="1"/>
  <c r="M39" i="4" s="1"/>
  <c r="L28" i="3"/>
  <c r="K28" i="3"/>
  <c r="J28" i="3"/>
  <c r="I28" i="3"/>
  <c r="H28" i="3"/>
  <c r="G28" i="3"/>
  <c r="F28" i="3"/>
  <c r="E38" i="4" s="1"/>
  <c r="M38" i="4" s="1"/>
  <c r="L24" i="3"/>
  <c r="K24" i="3"/>
  <c r="J24" i="3"/>
  <c r="I24" i="3"/>
  <c r="H24" i="3"/>
  <c r="G24" i="3"/>
  <c r="F24" i="3"/>
  <c r="L18" i="3"/>
  <c r="K18" i="3"/>
  <c r="J18" i="3"/>
  <c r="I18" i="3"/>
  <c r="H18" i="3"/>
  <c r="G36" i="4" s="1"/>
  <c r="G9" i="4" s="1"/>
  <c r="G18" i="3"/>
  <c r="F36" i="4" s="1"/>
  <c r="F9" i="4" s="1"/>
  <c r="F18" i="3"/>
  <c r="E36" i="4" s="1"/>
  <c r="L77" i="3"/>
  <c r="K77" i="3"/>
  <c r="J77" i="3"/>
  <c r="I77" i="3"/>
  <c r="H77" i="3"/>
  <c r="G77" i="3"/>
  <c r="L74" i="3"/>
  <c r="K74" i="3"/>
  <c r="J74" i="3"/>
  <c r="I74" i="3"/>
  <c r="H74" i="3"/>
  <c r="G74" i="3"/>
  <c r="L71" i="3"/>
  <c r="K71" i="3"/>
  <c r="J71" i="3"/>
  <c r="I71" i="3"/>
  <c r="H71" i="3"/>
  <c r="G71" i="3"/>
  <c r="L68" i="3"/>
  <c r="K68" i="3"/>
  <c r="J68" i="3"/>
  <c r="I68" i="3"/>
  <c r="H68" i="3"/>
  <c r="G68" i="3"/>
  <c r="L65" i="3"/>
  <c r="K65" i="3"/>
  <c r="J65" i="3"/>
  <c r="I65" i="3"/>
  <c r="H65" i="3"/>
  <c r="G65" i="3"/>
  <c r="L59" i="3"/>
  <c r="K59" i="3"/>
  <c r="J59" i="3"/>
  <c r="I59" i="3"/>
  <c r="H59" i="3"/>
  <c r="G59" i="3"/>
  <c r="L55" i="3"/>
  <c r="K55" i="3"/>
  <c r="J55" i="3"/>
  <c r="I55" i="3"/>
  <c r="H55" i="3"/>
  <c r="G55" i="3"/>
  <c r="L47" i="3"/>
  <c r="K47" i="3"/>
  <c r="J47" i="3"/>
  <c r="I47" i="3"/>
  <c r="H47" i="3"/>
  <c r="G47" i="3"/>
  <c r="L43" i="3"/>
  <c r="K43" i="3"/>
  <c r="J43" i="3"/>
  <c r="I43" i="3"/>
  <c r="H43" i="3"/>
  <c r="G43" i="3"/>
  <c r="L39" i="3"/>
  <c r="K39" i="3"/>
  <c r="J39" i="3"/>
  <c r="I39" i="3"/>
  <c r="H39" i="3"/>
  <c r="G39" i="3"/>
  <c r="L33" i="3"/>
  <c r="K33" i="3"/>
  <c r="J33" i="3"/>
  <c r="I33" i="3"/>
  <c r="H33" i="3"/>
  <c r="G33" i="3"/>
  <c r="L29" i="3"/>
  <c r="K29" i="3"/>
  <c r="J29" i="3"/>
  <c r="I29" i="3"/>
  <c r="H29" i="3"/>
  <c r="G29" i="3"/>
  <c r="L25" i="3"/>
  <c r="K25" i="3"/>
  <c r="J25" i="3"/>
  <c r="I25" i="3"/>
  <c r="H25" i="3"/>
  <c r="G25" i="3"/>
  <c r="L19" i="3"/>
  <c r="K19" i="3"/>
  <c r="J19" i="3"/>
  <c r="I19" i="3"/>
  <c r="H19" i="3"/>
  <c r="G19" i="3"/>
  <c r="L12" i="3"/>
  <c r="K12" i="3"/>
  <c r="J12" i="3"/>
  <c r="I12" i="3"/>
  <c r="H12" i="3"/>
  <c r="G12" i="3"/>
  <c r="L7" i="3"/>
  <c r="K7" i="3"/>
  <c r="J7" i="3"/>
  <c r="I7" i="3"/>
  <c r="H7" i="3"/>
  <c r="G7" i="3"/>
  <c r="L11" i="3"/>
  <c r="K11" i="3"/>
  <c r="J11" i="3"/>
  <c r="I11" i="3"/>
  <c r="H11" i="3"/>
  <c r="G11" i="3"/>
  <c r="F8" i="3"/>
  <c r="F11" i="3" s="1"/>
  <c r="H37" i="1"/>
  <c r="H36" i="1"/>
  <c r="H35" i="1"/>
  <c r="H34" i="1"/>
  <c r="H33" i="1"/>
  <c r="H29" i="1"/>
  <c r="H28" i="1"/>
  <c r="H27" i="1"/>
  <c r="H26" i="1"/>
  <c r="H25" i="1"/>
  <c r="H21" i="1"/>
  <c r="H20" i="1"/>
  <c r="H19" i="1"/>
  <c r="H18" i="1"/>
  <c r="H17" i="1"/>
  <c r="H16" i="1"/>
  <c r="L6" i="2"/>
  <c r="I6" i="2"/>
  <c r="E35" i="1"/>
  <c r="E34" i="1"/>
  <c r="E16" i="1"/>
  <c r="M36" i="4" l="1"/>
  <c r="I7" i="2"/>
  <c r="E28" i="1"/>
  <c r="E17" i="1"/>
  <c r="E18" i="1"/>
  <c r="E36" i="1"/>
  <c r="E19" i="1"/>
  <c r="E37" i="1"/>
  <c r="E20" i="1"/>
  <c r="E21" i="1"/>
  <c r="E29" i="1"/>
  <c r="E25" i="1"/>
  <c r="E26" i="1"/>
  <c r="E9" i="1"/>
  <c r="E27" i="1"/>
  <c r="E10" i="1"/>
  <c r="E11" i="1"/>
  <c r="E12" i="1"/>
  <c r="E33" i="1"/>
  <c r="C25" i="2" l="1"/>
  <c r="C24" i="2"/>
  <c r="C36" i="2"/>
  <c r="F77" i="3" s="1"/>
  <c r="M79" i="3" s="1"/>
  <c r="C18" i="2"/>
  <c r="C35" i="2"/>
  <c r="F74" i="3" s="1"/>
  <c r="M76" i="3" s="1"/>
  <c r="C17" i="2"/>
  <c r="C34" i="2"/>
  <c r="F71" i="3" s="1"/>
  <c r="M73" i="3" s="1"/>
  <c r="C16" i="2"/>
  <c r="C33" i="2"/>
  <c r="F68" i="3" s="1"/>
  <c r="M70" i="3" s="1"/>
  <c r="C15" i="2"/>
  <c r="C32" i="2"/>
  <c r="F65" i="3" s="1"/>
  <c r="M67" i="3" s="1"/>
  <c r="C28" i="2"/>
  <c r="C27" i="2"/>
  <c r="C26" i="2"/>
  <c r="C20" i="2"/>
  <c r="C19" i="2"/>
  <c r="F19" i="3" l="1"/>
  <c r="M24" i="3" s="1"/>
  <c r="E10" i="4"/>
  <c r="M10" i="4" s="1"/>
  <c r="E20" i="4"/>
  <c r="F59" i="3"/>
  <c r="M62" i="3" s="1"/>
  <c r="F7" i="3"/>
  <c r="M11" i="3" s="1"/>
  <c r="E8" i="4"/>
  <c r="M8" i="4" s="1"/>
  <c r="F25" i="3"/>
  <c r="M28" i="3" s="1"/>
  <c r="E11" i="4"/>
  <c r="M11" i="4" s="1"/>
  <c r="F39" i="3"/>
  <c r="M42" i="3" s="1"/>
  <c r="E16" i="4"/>
  <c r="F12" i="3"/>
  <c r="M18" i="3" s="1"/>
  <c r="E9" i="4"/>
  <c r="M9" i="4" s="1"/>
  <c r="F29" i="3"/>
  <c r="M32" i="3" s="1"/>
  <c r="E12" i="4"/>
  <c r="M12" i="4" s="1"/>
  <c r="F33" i="3"/>
  <c r="M36" i="3" s="1"/>
  <c r="E13" i="4"/>
  <c r="M13" i="4" s="1"/>
  <c r="F47" i="3"/>
  <c r="M54" i="3" s="1"/>
  <c r="E18" i="4"/>
  <c r="M18" i="4" s="1"/>
  <c r="F55" i="3"/>
  <c r="M58" i="3" s="1"/>
  <c r="E19" i="4"/>
  <c r="M19" i="4" s="1"/>
  <c r="F43" i="3"/>
  <c r="M46" i="3" s="1"/>
  <c r="E17" i="4"/>
  <c r="M17" i="4" s="1"/>
</calcChain>
</file>

<file path=xl/sharedStrings.xml><?xml version="1.0" encoding="utf-8"?>
<sst xmlns="http://schemas.openxmlformats.org/spreadsheetml/2006/main" count="295" uniqueCount="92">
  <si>
    <t>Salary Budget and investment</t>
  </si>
  <si>
    <t>Monthly Salary</t>
  </si>
  <si>
    <t>Category</t>
  </si>
  <si>
    <t>Percentage</t>
  </si>
  <si>
    <t>Amount</t>
  </si>
  <si>
    <t>Essentials/Needs</t>
  </si>
  <si>
    <t>Wants/Lifestyle</t>
  </si>
  <si>
    <t>Savings and Investments</t>
  </si>
  <si>
    <t>Emergency Fund (6 months of salary)</t>
  </si>
  <si>
    <t>Breakdown of Essentials/Needs (50%)</t>
  </si>
  <si>
    <t>Rent and Utilities</t>
  </si>
  <si>
    <t>Groceries and Food</t>
  </si>
  <si>
    <t>Transportation</t>
  </si>
  <si>
    <t>Insurance and EMI</t>
  </si>
  <si>
    <t>Healthcare</t>
  </si>
  <si>
    <t>Other Essentials</t>
  </si>
  <si>
    <t>Shopping</t>
  </si>
  <si>
    <t>Dining and Entertainment</t>
  </si>
  <si>
    <t>Subscription and Activities</t>
  </si>
  <si>
    <t>Travel &amp; Holiday</t>
  </si>
  <si>
    <t>Miscellaneous wants</t>
  </si>
  <si>
    <t>Breakdown of Savings &amp; Investments (20%)</t>
  </si>
  <si>
    <t>Emergency Fund Contribution</t>
  </si>
  <si>
    <t>Retirement Planning</t>
  </si>
  <si>
    <t>Home Planning</t>
  </si>
  <si>
    <t>Other Investments</t>
  </si>
  <si>
    <t>Gold</t>
  </si>
  <si>
    <t>Breakdown of wants / Lifestyle (30%)</t>
  </si>
  <si>
    <t>Monthly Budget</t>
  </si>
  <si>
    <t>Actual</t>
  </si>
  <si>
    <t>Saved</t>
  </si>
  <si>
    <t>Month</t>
  </si>
  <si>
    <t>Year</t>
  </si>
  <si>
    <t>Jun</t>
  </si>
  <si>
    <t>Jul</t>
  </si>
  <si>
    <t>Aug</t>
  </si>
  <si>
    <t>Sep</t>
  </si>
  <si>
    <t>Oct</t>
  </si>
  <si>
    <t>Nov</t>
  </si>
  <si>
    <t>Dec</t>
  </si>
  <si>
    <t>Swati Salary</t>
  </si>
  <si>
    <t>Avinash Salary</t>
  </si>
  <si>
    <t>Total</t>
  </si>
  <si>
    <t>Contribution towards Family</t>
  </si>
  <si>
    <t>To dad</t>
  </si>
  <si>
    <t>Equity/FD/MF</t>
  </si>
  <si>
    <t>Rent</t>
  </si>
  <si>
    <t>Maintenance</t>
  </si>
  <si>
    <t>Groceries</t>
  </si>
  <si>
    <t>Vegetables</t>
  </si>
  <si>
    <t>Fruits</t>
  </si>
  <si>
    <t>When ordered Online</t>
  </si>
  <si>
    <t>Metro</t>
  </si>
  <si>
    <t>Cab</t>
  </si>
  <si>
    <t>Auto</t>
  </si>
  <si>
    <t>Train</t>
  </si>
  <si>
    <t>EMI</t>
  </si>
  <si>
    <t>Insurance</t>
  </si>
  <si>
    <t>Hospital</t>
  </si>
  <si>
    <t>Medicines</t>
  </si>
  <si>
    <t>For relatives</t>
  </si>
  <si>
    <t>Movies</t>
  </si>
  <si>
    <t>Restuarants</t>
  </si>
  <si>
    <t>Timezone / Playzone</t>
  </si>
  <si>
    <t>Subscriptions</t>
  </si>
  <si>
    <t>Amazon Prime</t>
  </si>
  <si>
    <t>Internet</t>
  </si>
  <si>
    <t>Domestic Tour</t>
  </si>
  <si>
    <t>International Tour (Save in SIP)</t>
  </si>
  <si>
    <t>Adhoc</t>
  </si>
  <si>
    <t>Accumulated Savings</t>
  </si>
  <si>
    <t xml:space="preserve">For </t>
  </si>
  <si>
    <t>Activities</t>
  </si>
  <si>
    <t>For</t>
  </si>
  <si>
    <t>Spent</t>
  </si>
  <si>
    <t>Balance</t>
  </si>
  <si>
    <t>Budgeted Allocation</t>
  </si>
  <si>
    <t>Monthly Expenses</t>
  </si>
  <si>
    <t>Non-Veg</t>
  </si>
  <si>
    <t>Self</t>
  </si>
  <si>
    <t>Budgeted</t>
  </si>
  <si>
    <t>Electricity - after 11th of every month</t>
  </si>
  <si>
    <t>Actual Saved / Spent</t>
  </si>
  <si>
    <r>
      <rPr>
        <b/>
        <sz val="11"/>
        <color rgb="FF92D050"/>
        <rFont val="Calibri"/>
        <family val="2"/>
        <scheme val="minor"/>
      </rPr>
      <t>Excess Saved</t>
    </r>
    <r>
      <rPr>
        <b/>
        <sz val="11"/>
        <color theme="1"/>
        <rFont val="Calibri"/>
        <family val="2"/>
        <scheme val="minor"/>
      </rPr>
      <t xml:space="preserve">/ </t>
    </r>
    <r>
      <rPr>
        <b/>
        <sz val="11"/>
        <color rgb="FFFF0000"/>
        <rFont val="Calibri"/>
        <family val="2"/>
        <scheme val="minor"/>
      </rPr>
      <t>Overspent</t>
    </r>
  </si>
  <si>
    <t>Expense</t>
  </si>
  <si>
    <t>&lt;&lt;SAP Investments and Home Loan</t>
  </si>
  <si>
    <t>Other Essentials (CMA membership, etc.)</t>
  </si>
  <si>
    <t>MF</t>
  </si>
  <si>
    <t>Parent's Outing planning</t>
  </si>
  <si>
    <t>Cash in hand and Bank</t>
  </si>
  <si>
    <t>Audible</t>
  </si>
  <si>
    <t>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</si>
</sst>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_);_(* \(#,##0\);_(* &quot;-&quot;??_);_(@_)"/>
    <numFmt numFmtId="167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3" fontId="0" fillId="0" borderId="1" xfId="1" applyFont="1" applyBorder="1"/>
    <xf numFmtId="43" fontId="3" fillId="0" borderId="1" xfId="1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5" xfId="0" applyBorder="1" applyAlignment="1">
      <alignment vertical="center"/>
    </xf>
    <xf numFmtId="0" fontId="5" fillId="3" borderId="5" xfId="0" applyFont="1" applyFill="1" applyBorder="1"/>
    <xf numFmtId="0" fontId="5" fillId="3" borderId="0" xfId="0" applyFont="1" applyFill="1" applyBorder="1"/>
    <xf numFmtId="0" fontId="3" fillId="0" borderId="7" xfId="0" applyFont="1" applyBorder="1" applyAlignment="1">
      <alignment horizontal="center"/>
    </xf>
    <xf numFmtId="0" fontId="0" fillId="0" borderId="7" xfId="0" applyBorder="1"/>
    <xf numFmtId="0" fontId="0" fillId="0" borderId="0" xfId="0" applyBorder="1" applyAlignment="1">
      <alignment horizontal="center"/>
    </xf>
    <xf numFmtId="43" fontId="0" fillId="0" borderId="0" xfId="1" applyFont="1" applyBorder="1"/>
    <xf numFmtId="0" fontId="0" fillId="0" borderId="8" xfId="0" applyBorder="1"/>
    <xf numFmtId="9" fontId="0" fillId="0" borderId="9" xfId="0" applyNumberFormat="1" applyBorder="1" applyAlignment="1">
      <alignment horizontal="center"/>
    </xf>
    <xf numFmtId="43" fontId="0" fillId="0" borderId="9" xfId="1" applyFont="1" applyBorder="1"/>
    <xf numFmtId="0" fontId="0" fillId="0" borderId="10" xfId="0" applyBorder="1"/>
    <xf numFmtId="0" fontId="0" fillId="0" borderId="0" xfId="0" applyAlignment="1">
      <alignment horizontal="left" vertical="center"/>
    </xf>
    <xf numFmtId="0" fontId="0" fillId="0" borderId="0" xfId="0" quotePrefix="1"/>
    <xf numFmtId="0" fontId="3" fillId="0" borderId="0" xfId="0" applyFont="1"/>
    <xf numFmtId="0" fontId="0" fillId="0" borderId="2" xfId="0" applyBorder="1"/>
    <xf numFmtId="0" fontId="0" fillId="5" borderId="3" xfId="0" applyFill="1" applyBorder="1"/>
    <xf numFmtId="0" fontId="0" fillId="0" borderId="3" xfId="0" applyBorder="1"/>
    <xf numFmtId="0" fontId="0" fillId="5" borderId="4" xfId="0" applyFill="1" applyBorder="1"/>
    <xf numFmtId="0" fontId="0" fillId="0" borderId="16" xfId="0" applyBorder="1"/>
    <xf numFmtId="0" fontId="0" fillId="0" borderId="17" xfId="0" applyBorder="1"/>
    <xf numFmtId="0" fontId="0" fillId="2" borderId="17" xfId="0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2" xfId="0" applyFont="1" applyBorder="1"/>
    <xf numFmtId="0" fontId="0" fillId="0" borderId="4" xfId="0" applyBorder="1"/>
    <xf numFmtId="0" fontId="3" fillId="0" borderId="5" xfId="0" applyFont="1" applyBorder="1"/>
    <xf numFmtId="0" fontId="3" fillId="0" borderId="16" xfId="0" applyFont="1" applyBorder="1"/>
    <xf numFmtId="0" fontId="0" fillId="2" borderId="10" xfId="0" applyFill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4" borderId="17" xfId="0" applyFill="1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7" fontId="0" fillId="0" borderId="0" xfId="0" applyNumberFormat="1"/>
    <xf numFmtId="165" fontId="0" fillId="0" borderId="20" xfId="1" applyNumberFormat="1" applyFont="1" applyBorder="1"/>
    <xf numFmtId="165" fontId="0" fillId="0" borderId="19" xfId="1" applyNumberFormat="1" applyFont="1" applyBorder="1"/>
    <xf numFmtId="0" fontId="5" fillId="3" borderId="20" xfId="0" applyFont="1" applyFill="1" applyBorder="1"/>
    <xf numFmtId="0" fontId="3" fillId="0" borderId="21" xfId="0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5" fillId="3" borderId="2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26" xfId="0" applyFont="1" applyFill="1" applyBorder="1" applyAlignment="1">
      <alignment horizontal="center"/>
    </xf>
    <xf numFmtId="0" fontId="5" fillId="3" borderId="27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2" borderId="7" xfId="0" applyFill="1" applyBorder="1"/>
    <xf numFmtId="0" fontId="0" fillId="2" borderId="31" xfId="0" applyFill="1" applyBorder="1"/>
    <xf numFmtId="0" fontId="0" fillId="2" borderId="32" xfId="0" applyFill="1" applyBorder="1"/>
    <xf numFmtId="0" fontId="0" fillId="6" borderId="1" xfId="0" applyFill="1" applyBorder="1"/>
    <xf numFmtId="0" fontId="0" fillId="6" borderId="7" xfId="0" applyFill="1" applyBorder="1"/>
    <xf numFmtId="0" fontId="0" fillId="6" borderId="31" xfId="0" applyFill="1" applyBorder="1"/>
    <xf numFmtId="0" fontId="0" fillId="6" borderId="32" xfId="0" applyFill="1" applyBorder="1"/>
    <xf numFmtId="0" fontId="0" fillId="7" borderId="1" xfId="0" applyFill="1" applyBorder="1"/>
    <xf numFmtId="0" fontId="0" fillId="7" borderId="7" xfId="0" applyFill="1" applyBorder="1"/>
    <xf numFmtId="0" fontId="0" fillId="7" borderId="31" xfId="0" applyFill="1" applyBorder="1"/>
    <xf numFmtId="0" fontId="0" fillId="7" borderId="32" xfId="0" applyFill="1" applyBorder="1"/>
    <xf numFmtId="0" fontId="0" fillId="7" borderId="34" xfId="0" applyFill="1" applyBorder="1"/>
    <xf numFmtId="0" fontId="0" fillId="2" borderId="34" xfId="0" applyFill="1" applyBorder="1"/>
    <xf numFmtId="0" fontId="0" fillId="6" borderId="34" xfId="0" applyFill="1" applyBorder="1"/>
    <xf numFmtId="0" fontId="0" fillId="0" borderId="2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8" borderId="1" xfId="0" applyFill="1" applyBorder="1"/>
    <xf numFmtId="0" fontId="0" fillId="8" borderId="32" xfId="0" applyFill="1" applyBorder="1"/>
    <xf numFmtId="0" fontId="0" fillId="0" borderId="14" xfId="0" applyBorder="1" applyAlignment="1">
      <alignment horizontal="center"/>
    </xf>
    <xf numFmtId="0" fontId="0" fillId="9" borderId="12" xfId="0" applyFill="1" applyBorder="1"/>
    <xf numFmtId="0" fontId="0" fillId="7" borderId="36" xfId="0" applyFill="1" applyBorder="1"/>
    <xf numFmtId="0" fontId="4" fillId="9" borderId="12" xfId="0" applyFont="1" applyFill="1" applyBorder="1"/>
    <xf numFmtId="0" fontId="2" fillId="9" borderId="12" xfId="0" applyFont="1" applyFill="1" applyBorder="1"/>
    <xf numFmtId="0" fontId="2" fillId="9" borderId="30" xfId="0" applyFont="1" applyFill="1" applyBorder="1"/>
    <xf numFmtId="0" fontId="2" fillId="9" borderId="11" xfId="0" applyFont="1" applyFill="1" applyBorder="1"/>
    <xf numFmtId="0" fontId="4" fillId="9" borderId="38" xfId="0" applyFont="1" applyFill="1" applyBorder="1"/>
    <xf numFmtId="0" fontId="0" fillId="9" borderId="38" xfId="0" applyFill="1" applyBorder="1"/>
    <xf numFmtId="0" fontId="2" fillId="9" borderId="39" xfId="0" applyFont="1" applyFill="1" applyBorder="1"/>
    <xf numFmtId="0" fontId="0" fillId="8" borderId="24" xfId="0" applyFill="1" applyBorder="1"/>
    <xf numFmtId="0" fontId="0" fillId="8" borderId="29" xfId="0" applyFill="1" applyBorder="1"/>
    <xf numFmtId="0" fontId="2" fillId="9" borderId="27" xfId="0" applyFont="1" applyFill="1" applyBorder="1"/>
    <xf numFmtId="0" fontId="0" fillId="9" borderId="20" xfId="0" applyFill="1" applyBorder="1"/>
    <xf numFmtId="0" fontId="3" fillId="2" borderId="35" xfId="0" applyFont="1" applyFill="1" applyBorder="1"/>
    <xf numFmtId="0" fontId="3" fillId="6" borderId="35" xfId="0" applyFont="1" applyFill="1" applyBorder="1"/>
    <xf numFmtId="0" fontId="3" fillId="7" borderId="35" xfId="0" applyFont="1" applyFill="1" applyBorder="1"/>
    <xf numFmtId="0" fontId="3" fillId="7" borderId="37" xfId="0" applyFont="1" applyFill="1" applyBorder="1"/>
    <xf numFmtId="0" fontId="0" fillId="2" borderId="20" xfId="0" applyFill="1" applyBorder="1" applyAlignment="1">
      <alignment horizontal="center" vertical="center"/>
    </xf>
    <xf numFmtId="0" fontId="2" fillId="9" borderId="18" xfId="0" applyFont="1" applyFill="1" applyBorder="1" applyAlignment="1">
      <alignment horizontal="center" vertical="center"/>
    </xf>
    <xf numFmtId="0" fontId="0" fillId="2" borderId="20" xfId="0" applyFill="1" applyBorder="1" applyAlignment="1">
      <alignment vertical="center"/>
    </xf>
    <xf numFmtId="0" fontId="0" fillId="2" borderId="19" xfId="0" applyFill="1" applyBorder="1" applyAlignment="1">
      <alignment horizontal="center" vertical="center"/>
    </xf>
    <xf numFmtId="0" fontId="0" fillId="6" borderId="20" xfId="0" applyFill="1" applyBorder="1"/>
    <xf numFmtId="0" fontId="3" fillId="6" borderId="20" xfId="0" applyFont="1" applyFill="1" applyBorder="1"/>
    <xf numFmtId="0" fontId="3" fillId="6" borderId="19" xfId="0" applyFont="1" applyFill="1" applyBorder="1"/>
    <xf numFmtId="0" fontId="0" fillId="7" borderId="20" xfId="0" applyFill="1" applyBorder="1"/>
    <xf numFmtId="0" fontId="3" fillId="7" borderId="20" xfId="0" applyFont="1" applyFill="1" applyBorder="1"/>
    <xf numFmtId="0" fontId="3" fillId="7" borderId="19" xfId="0" applyFont="1" applyFill="1" applyBorder="1"/>
    <xf numFmtId="0" fontId="0" fillId="2" borderId="19" xfId="0" applyFill="1" applyBorder="1" applyAlignment="1">
      <alignment vertical="center"/>
    </xf>
    <xf numFmtId="0" fontId="3" fillId="10" borderId="40" xfId="0" applyFont="1" applyFill="1" applyBorder="1"/>
    <xf numFmtId="0" fontId="3" fillId="10" borderId="35" xfId="0" applyFont="1" applyFill="1" applyBorder="1"/>
    <xf numFmtId="0" fontId="3" fillId="10" borderId="41" xfId="0" applyFont="1" applyFill="1" applyBorder="1"/>
    <xf numFmtId="0" fontId="6" fillId="2" borderId="1" xfId="0" applyFont="1" applyFill="1" applyBorder="1"/>
    <xf numFmtId="0" fontId="0" fillId="0" borderId="1" xfId="0" applyFill="1" applyBorder="1"/>
    <xf numFmtId="0" fontId="6" fillId="2" borderId="1" xfId="0" applyFont="1" applyFill="1" applyBorder="1" applyAlignment="1">
      <alignment horizontal="left"/>
    </xf>
    <xf numFmtId="0" fontId="0" fillId="0" borderId="1" xfId="0" applyFont="1" applyBorder="1"/>
    <xf numFmtId="43" fontId="0" fillId="0" borderId="0" xfId="0" applyNumberFormat="1"/>
    <xf numFmtId="9" fontId="0" fillId="0" borderId="0" xfId="2" applyFont="1"/>
    <xf numFmtId="4" fontId="0" fillId="0" borderId="0" xfId="1" applyNumberFormat="1" applyFont="1"/>
    <xf numFmtId="4" fontId="3" fillId="0" borderId="1" xfId="1" applyNumberFormat="1" applyFont="1" applyBorder="1" applyAlignment="1">
      <alignment horizontal="center" wrapText="1"/>
    </xf>
    <xf numFmtId="4" fontId="2" fillId="9" borderId="12" xfId="1" applyNumberFormat="1" applyFont="1" applyFill="1" applyBorder="1"/>
    <xf numFmtId="4" fontId="0" fillId="8" borderId="13" xfId="1" applyNumberFormat="1" applyFont="1" applyFill="1" applyBorder="1"/>
    <xf numFmtId="4" fontId="3" fillId="10" borderId="13" xfId="1" applyNumberFormat="1" applyFont="1" applyFill="1" applyBorder="1"/>
    <xf numFmtId="4" fontId="0" fillId="8" borderId="33" xfId="1" applyNumberFormat="1" applyFont="1" applyFill="1" applyBorder="1"/>
    <xf numFmtId="4" fontId="3" fillId="10" borderId="40" xfId="1" applyNumberFormat="1" applyFont="1" applyFill="1" applyBorder="1"/>
    <xf numFmtId="4" fontId="2" fillId="9" borderId="30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4">
    <dxf>
      <numFmt numFmtId="0" formatCode="General"/>
      <fill>
        <patternFill>
          <bgColor rgb="FF92D050"/>
        </patternFill>
      </fill>
    </dxf>
    <dxf>
      <fill>
        <patternFill>
          <bgColor rgb="FFFF0000"/>
        </patternFill>
      </fill>
    </dxf>
    <dxf>
      <numFmt numFmtId="0" formatCode="General"/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40"/>
  <sheetViews>
    <sheetView topLeftCell="A2" workbookViewId="0">
      <selection activeCell="E12" sqref="E12"/>
    </sheetView>
  </sheetViews>
  <sheetFormatPr defaultRowHeight="14.4" x14ac:dyDescent="0.3"/>
  <cols>
    <col min="1" max="2" width="3.5546875" customWidth="1"/>
    <col min="3" max="3" width="36.5546875" bestFit="1" customWidth="1"/>
    <col min="4" max="4" width="17.44140625" customWidth="1"/>
    <col min="5" max="5" width="14.77734375" customWidth="1"/>
    <col min="8" max="10" width="11.44140625" customWidth="1"/>
    <col min="11" max="12" width="9.109375" bestFit="1" customWidth="1"/>
  </cols>
  <sheetData>
    <row r="1" spans="3:15" ht="15" thickBot="1" x14ac:dyDescent="0.35"/>
    <row r="2" spans="3:15" ht="28.8" customHeight="1" x14ac:dyDescent="0.3">
      <c r="C2" s="10" t="s">
        <v>0</v>
      </c>
      <c r="D2" s="11"/>
      <c r="E2" s="11"/>
      <c r="F2" s="12"/>
    </row>
    <row r="3" spans="3:15" x14ac:dyDescent="0.3">
      <c r="C3" s="13"/>
      <c r="D3" s="14"/>
      <c r="E3" s="14"/>
      <c r="F3" s="15"/>
    </row>
    <row r="4" spans="3:15" ht="28.2" customHeight="1" x14ac:dyDescent="0.3">
      <c r="C4" s="16" t="s">
        <v>1</v>
      </c>
      <c r="D4" s="9">
        <v>235000</v>
      </c>
      <c r="E4" s="14"/>
      <c r="F4" s="15"/>
      <c r="H4" s="27"/>
    </row>
    <row r="5" spans="3:15" x14ac:dyDescent="0.3">
      <c r="C5" s="13"/>
      <c r="D5" s="14"/>
      <c r="E5" s="14"/>
      <c r="F5" s="15"/>
    </row>
    <row r="6" spans="3:15" ht="15.6" x14ac:dyDescent="0.3">
      <c r="C6" s="17" t="s">
        <v>28</v>
      </c>
      <c r="D6" s="18"/>
      <c r="E6" s="18"/>
      <c r="F6" s="15"/>
      <c r="H6" s="28"/>
    </row>
    <row r="7" spans="3:15" x14ac:dyDescent="0.3">
      <c r="C7" s="13"/>
      <c r="D7" s="14"/>
      <c r="E7" s="14"/>
      <c r="F7" s="15"/>
    </row>
    <row r="8" spans="3:15" x14ac:dyDescent="0.3">
      <c r="C8" s="19" t="s">
        <v>2</v>
      </c>
      <c r="D8" s="4" t="s">
        <v>3</v>
      </c>
      <c r="E8" s="4" t="s">
        <v>4</v>
      </c>
      <c r="F8" s="15"/>
    </row>
    <row r="9" spans="3:15" x14ac:dyDescent="0.3">
      <c r="C9" s="20" t="s">
        <v>5</v>
      </c>
      <c r="D9" s="5">
        <v>0.3</v>
      </c>
      <c r="E9" s="7">
        <f>$D$4*D9</f>
        <v>70500</v>
      </c>
      <c r="F9" s="15"/>
    </row>
    <row r="10" spans="3:15" x14ac:dyDescent="0.3">
      <c r="C10" s="20" t="s">
        <v>6</v>
      </c>
      <c r="D10" s="5">
        <v>0.18</v>
      </c>
      <c r="E10" s="7">
        <f t="shared" ref="E10:E12" si="0">$D$4*D10</f>
        <v>42300</v>
      </c>
      <c r="F10" s="15"/>
    </row>
    <row r="11" spans="3:15" x14ac:dyDescent="0.3">
      <c r="C11" s="20" t="s">
        <v>7</v>
      </c>
      <c r="D11" s="5">
        <v>0.52</v>
      </c>
      <c r="E11" s="7">
        <f t="shared" si="0"/>
        <v>122200</v>
      </c>
      <c r="F11" s="15"/>
      <c r="K11" s="129"/>
      <c r="L11" s="129"/>
      <c r="M11" s="129"/>
      <c r="N11" s="129"/>
      <c r="O11" s="129"/>
    </row>
    <row r="12" spans="3:15" x14ac:dyDescent="0.3">
      <c r="C12" s="20" t="s">
        <v>8</v>
      </c>
      <c r="D12" s="5">
        <v>6</v>
      </c>
      <c r="E12" s="7">
        <f t="shared" si="0"/>
        <v>1410000</v>
      </c>
      <c r="F12" s="15"/>
    </row>
    <row r="13" spans="3:15" x14ac:dyDescent="0.3">
      <c r="C13" s="13"/>
      <c r="D13" s="21"/>
      <c r="E13" s="22"/>
      <c r="F13" s="15"/>
    </row>
    <row r="14" spans="3:15" ht="15.6" x14ac:dyDescent="0.3">
      <c r="C14" s="17" t="s">
        <v>9</v>
      </c>
      <c r="D14" s="18"/>
      <c r="E14" s="18"/>
      <c r="F14" s="15"/>
    </row>
    <row r="15" spans="3:15" x14ac:dyDescent="0.3">
      <c r="C15" s="19" t="s">
        <v>2</v>
      </c>
      <c r="D15" s="4" t="s">
        <v>3</v>
      </c>
      <c r="E15" s="8" t="s">
        <v>4</v>
      </c>
      <c r="F15" s="15"/>
    </row>
    <row r="16" spans="3:15" x14ac:dyDescent="0.3">
      <c r="C16" s="20" t="s">
        <v>10</v>
      </c>
      <c r="D16" s="5">
        <v>0.4</v>
      </c>
      <c r="E16" s="7">
        <f>$D$4*D16*$D$9</f>
        <v>28200</v>
      </c>
      <c r="F16" s="15"/>
      <c r="G16" s="130"/>
      <c r="H16" s="57">
        <f>$D$9*D16</f>
        <v>0.12</v>
      </c>
      <c r="J16" s="129"/>
    </row>
    <row r="17" spans="3:8" x14ac:dyDescent="0.3">
      <c r="C17" s="20" t="s">
        <v>11</v>
      </c>
      <c r="D17" s="5">
        <v>0.2</v>
      </c>
      <c r="E17" s="7">
        <f t="shared" ref="E17:E21" si="1">$D$4*D17*$D$9</f>
        <v>14100</v>
      </c>
      <c r="F17" s="15"/>
      <c r="G17" s="130"/>
      <c r="H17" s="57">
        <f t="shared" ref="H17:H21" si="2">$D$9*D17</f>
        <v>0.06</v>
      </c>
    </row>
    <row r="18" spans="3:8" x14ac:dyDescent="0.3">
      <c r="C18" s="20" t="s">
        <v>12</v>
      </c>
      <c r="D18" s="5">
        <v>0.1</v>
      </c>
      <c r="E18" s="7">
        <f t="shared" si="1"/>
        <v>7050</v>
      </c>
      <c r="F18" s="15"/>
      <c r="G18" s="130"/>
      <c r="H18" s="57">
        <f t="shared" si="2"/>
        <v>0.03</v>
      </c>
    </row>
    <row r="19" spans="3:8" x14ac:dyDescent="0.3">
      <c r="C19" s="20" t="s">
        <v>13</v>
      </c>
      <c r="D19" s="5">
        <v>0.05</v>
      </c>
      <c r="E19" s="7">
        <f t="shared" si="1"/>
        <v>3525</v>
      </c>
      <c r="F19" s="15"/>
      <c r="G19" s="130"/>
      <c r="H19" s="57">
        <f t="shared" si="2"/>
        <v>1.4999999999999999E-2</v>
      </c>
    </row>
    <row r="20" spans="3:8" x14ac:dyDescent="0.3">
      <c r="C20" s="20" t="s">
        <v>14</v>
      </c>
      <c r="D20" s="5">
        <v>0.08</v>
      </c>
      <c r="E20" s="7">
        <f t="shared" si="1"/>
        <v>5640</v>
      </c>
      <c r="F20" s="15"/>
      <c r="G20" s="130"/>
      <c r="H20" s="57">
        <f t="shared" si="2"/>
        <v>2.4E-2</v>
      </c>
    </row>
    <row r="21" spans="3:8" x14ac:dyDescent="0.3">
      <c r="C21" s="20" t="s">
        <v>86</v>
      </c>
      <c r="D21" s="5">
        <v>0.17</v>
      </c>
      <c r="E21" s="7">
        <f t="shared" si="1"/>
        <v>11985</v>
      </c>
      <c r="F21" s="15"/>
      <c r="G21" s="130"/>
      <c r="H21" s="57">
        <f t="shared" si="2"/>
        <v>5.1000000000000004E-2</v>
      </c>
    </row>
    <row r="22" spans="3:8" x14ac:dyDescent="0.3">
      <c r="C22" s="13"/>
      <c r="D22" s="21"/>
      <c r="E22" s="22"/>
      <c r="F22" s="15"/>
      <c r="H22" s="57"/>
    </row>
    <row r="23" spans="3:8" ht="15.6" x14ac:dyDescent="0.3">
      <c r="C23" s="17" t="s">
        <v>27</v>
      </c>
      <c r="D23" s="18"/>
      <c r="E23" s="18"/>
      <c r="F23" s="15"/>
      <c r="H23" s="57"/>
    </row>
    <row r="24" spans="3:8" x14ac:dyDescent="0.3">
      <c r="C24" s="19" t="s">
        <v>2</v>
      </c>
      <c r="D24" s="4" t="s">
        <v>3</v>
      </c>
      <c r="E24" s="8" t="s">
        <v>4</v>
      </c>
      <c r="F24" s="15"/>
      <c r="H24" s="57"/>
    </row>
    <row r="25" spans="3:8" x14ac:dyDescent="0.3">
      <c r="C25" s="20" t="s">
        <v>16</v>
      </c>
      <c r="D25" s="5">
        <v>0.2</v>
      </c>
      <c r="E25" s="7">
        <f>$D$4*$D$10*D25</f>
        <v>8460</v>
      </c>
      <c r="F25" s="15"/>
      <c r="H25" s="57">
        <f>$D$10*D25</f>
        <v>3.5999999999999997E-2</v>
      </c>
    </row>
    <row r="26" spans="3:8" x14ac:dyDescent="0.3">
      <c r="C26" s="20" t="s">
        <v>17</v>
      </c>
      <c r="D26" s="5">
        <v>0.1</v>
      </c>
      <c r="E26" s="7">
        <f t="shared" ref="E26:E29" si="3">$D$4*$D$10*D26</f>
        <v>4230</v>
      </c>
      <c r="F26" s="15"/>
      <c r="H26" s="57">
        <f t="shared" ref="H26:H29" si="4">$D$10*D26</f>
        <v>1.7999999999999999E-2</v>
      </c>
    </row>
    <row r="27" spans="3:8" x14ac:dyDescent="0.3">
      <c r="C27" s="20" t="s">
        <v>18</v>
      </c>
      <c r="D27" s="5">
        <v>0.1</v>
      </c>
      <c r="E27" s="7">
        <f t="shared" si="3"/>
        <v>4230</v>
      </c>
      <c r="F27" s="15"/>
      <c r="H27" s="57">
        <f t="shared" si="4"/>
        <v>1.7999999999999999E-2</v>
      </c>
    </row>
    <row r="28" spans="3:8" x14ac:dyDescent="0.3">
      <c r="C28" s="20" t="s">
        <v>19</v>
      </c>
      <c r="D28" s="5">
        <v>0.55000000000000004</v>
      </c>
      <c r="E28" s="7">
        <f t="shared" si="3"/>
        <v>23265.000000000004</v>
      </c>
      <c r="F28" s="15"/>
      <c r="H28" s="57">
        <f t="shared" si="4"/>
        <v>9.9000000000000005E-2</v>
      </c>
    </row>
    <row r="29" spans="3:8" x14ac:dyDescent="0.3">
      <c r="C29" s="20" t="s">
        <v>20</v>
      </c>
      <c r="D29" s="5">
        <v>0.15</v>
      </c>
      <c r="E29" s="7">
        <f t="shared" si="3"/>
        <v>6345</v>
      </c>
      <c r="F29" s="15"/>
      <c r="H29" s="57">
        <f t="shared" si="4"/>
        <v>2.7E-2</v>
      </c>
    </row>
    <row r="30" spans="3:8" x14ac:dyDescent="0.3">
      <c r="C30" s="13"/>
      <c r="D30" s="21"/>
      <c r="E30" s="22"/>
      <c r="F30" s="15"/>
      <c r="H30" s="57"/>
    </row>
    <row r="31" spans="3:8" ht="15.6" x14ac:dyDescent="0.3">
      <c r="C31" s="17" t="s">
        <v>21</v>
      </c>
      <c r="D31" s="18"/>
      <c r="E31" s="18"/>
      <c r="F31" s="15"/>
      <c r="H31" s="57"/>
    </row>
    <row r="32" spans="3:8" x14ac:dyDescent="0.3">
      <c r="C32" s="19" t="s">
        <v>2</v>
      </c>
      <c r="D32" s="4" t="s">
        <v>3</v>
      </c>
      <c r="E32" s="8" t="s">
        <v>4</v>
      </c>
      <c r="F32" s="15"/>
      <c r="H32" s="57"/>
    </row>
    <row r="33" spans="3:8" x14ac:dyDescent="0.3">
      <c r="C33" s="20" t="s">
        <v>22</v>
      </c>
      <c r="D33" s="5">
        <v>0.25</v>
      </c>
      <c r="E33" s="7">
        <f>$D$4*$D$11*D33</f>
        <v>30550</v>
      </c>
      <c r="F33" s="15"/>
      <c r="H33" s="57">
        <f>$D$11*D33</f>
        <v>0.13</v>
      </c>
    </row>
    <row r="34" spans="3:8" x14ac:dyDescent="0.3">
      <c r="C34" s="20" t="s">
        <v>23</v>
      </c>
      <c r="D34" s="5">
        <v>0.15</v>
      </c>
      <c r="E34" s="7">
        <f t="shared" ref="E34:E37" si="5">$D$4*$D$11*D34</f>
        <v>18330</v>
      </c>
      <c r="F34" s="15"/>
      <c r="H34" s="57">
        <f t="shared" ref="H34:H37" si="6">$D$11*D34</f>
        <v>7.8E-2</v>
      </c>
    </row>
    <row r="35" spans="3:8" x14ac:dyDescent="0.3">
      <c r="C35" s="20" t="s">
        <v>24</v>
      </c>
      <c r="D35" s="5">
        <v>0.4</v>
      </c>
      <c r="E35" s="7">
        <f t="shared" si="5"/>
        <v>48880</v>
      </c>
      <c r="F35" s="15"/>
      <c r="H35" s="57">
        <f t="shared" si="6"/>
        <v>0.20800000000000002</v>
      </c>
    </row>
    <row r="36" spans="3:8" x14ac:dyDescent="0.3">
      <c r="C36" s="20" t="s">
        <v>45</v>
      </c>
      <c r="D36" s="5">
        <v>0.1</v>
      </c>
      <c r="E36" s="7">
        <f t="shared" si="5"/>
        <v>12220</v>
      </c>
      <c r="F36" s="15"/>
      <c r="H36" s="57">
        <f t="shared" si="6"/>
        <v>5.2000000000000005E-2</v>
      </c>
    </row>
    <row r="37" spans="3:8" ht="15" thickBot="1" x14ac:dyDescent="0.35">
      <c r="C37" s="23" t="s">
        <v>26</v>
      </c>
      <c r="D37" s="24">
        <v>0.1</v>
      </c>
      <c r="E37" s="25">
        <f t="shared" si="5"/>
        <v>12220</v>
      </c>
      <c r="F37" s="26"/>
      <c r="H37" s="57">
        <f t="shared" si="6"/>
        <v>5.2000000000000005E-2</v>
      </c>
    </row>
    <row r="38" spans="3:8" x14ac:dyDescent="0.3">
      <c r="D38" s="6"/>
    </row>
    <row r="39" spans="3:8" x14ac:dyDescent="0.3">
      <c r="D39" s="6"/>
    </row>
    <row r="40" spans="3:8" x14ac:dyDescent="0.3">
      <c r="D40" s="6"/>
    </row>
  </sheetData>
  <mergeCells count="1">
    <mergeCell ref="C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E0325-579A-43CD-959F-ACB57E9ADC15}">
  <dimension ref="B1:Q36"/>
  <sheetViews>
    <sheetView tabSelected="1" workbookViewId="0">
      <selection activeCell="C33" sqref="C33"/>
    </sheetView>
  </sheetViews>
  <sheetFormatPr defaultRowHeight="14.4" x14ac:dyDescent="0.3"/>
  <cols>
    <col min="2" max="2" width="42.109375" bestFit="1" customWidth="1"/>
    <col min="3" max="3" width="13.5546875" customWidth="1"/>
    <col min="4" max="4" width="14.21875" customWidth="1"/>
    <col min="5" max="5" width="13.44140625" customWidth="1"/>
    <col min="6" max="6" width="13.21875" customWidth="1"/>
    <col min="7" max="7" width="13" customWidth="1"/>
    <col min="8" max="8" width="13.21875" customWidth="1"/>
    <col min="9" max="9" width="13.109375" customWidth="1"/>
    <col min="10" max="10" width="1.44140625" customWidth="1"/>
    <col min="11" max="11" width="12.33203125" customWidth="1"/>
    <col min="12" max="12" width="13.6640625" customWidth="1"/>
  </cols>
  <sheetData>
    <row r="1" spans="2:17" ht="15" thickBot="1" x14ac:dyDescent="0.35"/>
    <row r="2" spans="2:17" x14ac:dyDescent="0.3">
      <c r="H2" s="40" t="s">
        <v>40</v>
      </c>
      <c r="I2" s="41"/>
      <c r="J2" s="32"/>
      <c r="K2" s="40" t="s">
        <v>41</v>
      </c>
      <c r="L2" s="41"/>
    </row>
    <row r="3" spans="2:17" x14ac:dyDescent="0.3">
      <c r="H3" s="42" t="s">
        <v>42</v>
      </c>
      <c r="I3" s="15">
        <v>150000</v>
      </c>
      <c r="J3" s="14"/>
      <c r="K3" s="42" t="s">
        <v>42</v>
      </c>
      <c r="L3" s="15">
        <v>180000</v>
      </c>
    </row>
    <row r="4" spans="2:17" ht="15" thickBot="1" x14ac:dyDescent="0.35">
      <c r="H4" s="43" t="s">
        <v>44</v>
      </c>
      <c r="I4" s="26">
        <v>50000</v>
      </c>
      <c r="J4" s="14"/>
      <c r="K4" s="43" t="s">
        <v>84</v>
      </c>
      <c r="L4" s="26">
        <f>30000+15000</f>
        <v>45000</v>
      </c>
      <c r="N4" t="s">
        <v>85</v>
      </c>
    </row>
    <row r="5" spans="2:17" ht="15" thickBot="1" x14ac:dyDescent="0.35">
      <c r="H5" s="37" t="s">
        <v>43</v>
      </c>
      <c r="I5" s="38"/>
      <c r="J5" s="38"/>
      <c r="K5" s="38"/>
      <c r="L5" s="39"/>
    </row>
    <row r="6" spans="2:17" x14ac:dyDescent="0.3">
      <c r="H6" s="30"/>
      <c r="I6" s="31">
        <f>I3-I4</f>
        <v>100000</v>
      </c>
      <c r="J6" s="32"/>
      <c r="K6" s="32"/>
      <c r="L6" s="33">
        <f>L3-L4</f>
        <v>135000</v>
      </c>
    </row>
    <row r="7" spans="2:17" ht="15" thickBot="1" x14ac:dyDescent="0.35">
      <c r="H7" s="34"/>
      <c r="I7" s="36">
        <f>I6+L6</f>
        <v>235000</v>
      </c>
      <c r="J7" s="36"/>
      <c r="K7" s="44"/>
      <c r="L7" s="26"/>
    </row>
    <row r="9" spans="2:17" ht="15" thickBot="1" x14ac:dyDescent="0.35">
      <c r="C9" s="48" t="s">
        <v>76</v>
      </c>
      <c r="D9" s="48"/>
      <c r="E9" s="48"/>
      <c r="F9" s="48"/>
      <c r="G9" s="48"/>
      <c r="H9" s="48"/>
      <c r="I9" s="48"/>
      <c r="K9" s="36" t="s">
        <v>82</v>
      </c>
      <c r="L9" s="36"/>
      <c r="M9" s="36"/>
      <c r="N9" s="36"/>
      <c r="O9" s="36"/>
      <c r="P9" s="36"/>
      <c r="Q9" s="36"/>
    </row>
    <row r="10" spans="2:17" x14ac:dyDescent="0.3">
      <c r="B10" s="45" t="s">
        <v>32</v>
      </c>
      <c r="C10" s="45"/>
      <c r="D10" s="30"/>
      <c r="E10" s="32"/>
      <c r="F10" s="32"/>
      <c r="G10" s="32"/>
      <c r="H10" s="32"/>
      <c r="I10" s="41"/>
      <c r="K10" s="53"/>
      <c r="L10" s="54"/>
      <c r="M10" s="55"/>
      <c r="N10" s="55"/>
      <c r="O10" s="55"/>
      <c r="P10" s="55"/>
      <c r="Q10" s="56"/>
    </row>
    <row r="11" spans="2:17" ht="15" thickBot="1" x14ac:dyDescent="0.35">
      <c r="B11" s="46" t="s">
        <v>31</v>
      </c>
      <c r="C11" s="49" t="s">
        <v>33</v>
      </c>
      <c r="D11" s="50" t="s">
        <v>34</v>
      </c>
      <c r="E11" s="51" t="s">
        <v>35</v>
      </c>
      <c r="F11" s="51" t="s">
        <v>36</v>
      </c>
      <c r="G11" s="51" t="s">
        <v>37</v>
      </c>
      <c r="H11" s="51" t="s">
        <v>38</v>
      </c>
      <c r="I11" s="52" t="s">
        <v>39</v>
      </c>
      <c r="K11" s="49" t="s">
        <v>33</v>
      </c>
      <c r="L11" s="50" t="s">
        <v>34</v>
      </c>
      <c r="M11" s="51" t="s">
        <v>35</v>
      </c>
      <c r="N11" s="51" t="s">
        <v>36</v>
      </c>
      <c r="O11" s="51" t="s">
        <v>37</v>
      </c>
      <c r="P11" s="51" t="s">
        <v>38</v>
      </c>
      <c r="Q11" s="52" t="s">
        <v>39</v>
      </c>
    </row>
    <row r="12" spans="2:17" x14ac:dyDescent="0.3">
      <c r="B12" s="47"/>
      <c r="C12" s="45"/>
      <c r="D12" s="13"/>
      <c r="E12" s="14"/>
      <c r="F12" s="14"/>
      <c r="G12" s="14"/>
      <c r="H12" s="14"/>
      <c r="I12" s="15"/>
      <c r="K12" s="47"/>
      <c r="L12" s="13"/>
      <c r="M12" s="14"/>
      <c r="N12" s="14"/>
      <c r="O12" s="14"/>
      <c r="P12" s="14"/>
      <c r="Q12" s="15"/>
    </row>
    <row r="13" spans="2:17" ht="15.6" x14ac:dyDescent="0.3">
      <c r="B13" s="60" t="s">
        <v>9</v>
      </c>
      <c r="C13" s="47"/>
      <c r="D13" s="13"/>
      <c r="E13" s="14"/>
      <c r="F13" s="14"/>
      <c r="G13" s="14"/>
      <c r="H13" s="14"/>
      <c r="I13" s="15"/>
      <c r="K13" s="47"/>
      <c r="L13" s="13"/>
      <c r="M13" s="14"/>
      <c r="N13" s="14"/>
      <c r="O13" s="14"/>
      <c r="P13" s="14"/>
      <c r="Q13" s="15"/>
    </row>
    <row r="14" spans="2:17" x14ac:dyDescent="0.3">
      <c r="B14" s="61" t="s">
        <v>2</v>
      </c>
      <c r="C14" s="47"/>
      <c r="D14" s="13"/>
      <c r="E14" s="14"/>
      <c r="F14" s="14"/>
      <c r="G14" s="14"/>
      <c r="H14" s="14"/>
      <c r="I14" s="15"/>
      <c r="K14" s="47"/>
      <c r="L14" s="13"/>
      <c r="M14" s="14"/>
      <c r="N14" s="14"/>
      <c r="O14" s="14"/>
      <c r="P14" s="14"/>
      <c r="Q14" s="15"/>
    </row>
    <row r="15" spans="2:17" x14ac:dyDescent="0.3">
      <c r="B15" s="62" t="s">
        <v>10</v>
      </c>
      <c r="C15" s="58">
        <f>$I$7*Budget!H16</f>
        <v>28200</v>
      </c>
      <c r="D15" s="13"/>
      <c r="E15" s="14"/>
      <c r="F15" s="14"/>
      <c r="G15" s="14"/>
      <c r="H15" s="14"/>
      <c r="I15" s="15"/>
      <c r="K15" s="47"/>
      <c r="L15" s="13"/>
      <c r="M15" s="14"/>
      <c r="N15" s="14"/>
      <c r="O15" s="14"/>
      <c r="P15" s="14"/>
      <c r="Q15" s="15"/>
    </row>
    <row r="16" spans="2:17" x14ac:dyDescent="0.3">
      <c r="B16" s="62" t="s">
        <v>11</v>
      </c>
      <c r="C16" s="58">
        <f>$I$7*Budget!H17</f>
        <v>14100</v>
      </c>
      <c r="D16" s="13"/>
      <c r="E16" s="14"/>
      <c r="F16" s="14"/>
      <c r="G16" s="14"/>
      <c r="H16" s="14"/>
      <c r="I16" s="15"/>
      <c r="K16" s="47"/>
      <c r="L16" s="13"/>
      <c r="M16" s="14"/>
      <c r="N16" s="14"/>
      <c r="O16" s="14"/>
      <c r="P16" s="14"/>
      <c r="Q16" s="15"/>
    </row>
    <row r="17" spans="2:17" x14ac:dyDescent="0.3">
      <c r="B17" s="62" t="s">
        <v>12</v>
      </c>
      <c r="C17" s="58">
        <f>$I$7*Budget!H18</f>
        <v>7050</v>
      </c>
      <c r="D17" s="13"/>
      <c r="E17" s="14"/>
      <c r="F17" s="14"/>
      <c r="G17" s="14"/>
      <c r="H17" s="14"/>
      <c r="I17" s="15"/>
      <c r="K17" s="47"/>
      <c r="L17" s="13"/>
      <c r="M17" s="14"/>
      <c r="N17" s="14"/>
      <c r="O17" s="14"/>
      <c r="P17" s="14"/>
      <c r="Q17" s="15"/>
    </row>
    <row r="18" spans="2:17" x14ac:dyDescent="0.3">
      <c r="B18" s="62" t="s">
        <v>13</v>
      </c>
      <c r="C18" s="58">
        <f>$I$7*Budget!H19</f>
        <v>3525</v>
      </c>
      <c r="D18" s="13"/>
      <c r="E18" s="14"/>
      <c r="F18" s="14"/>
      <c r="G18" s="14"/>
      <c r="H18" s="14"/>
      <c r="I18" s="15"/>
      <c r="K18" s="47"/>
      <c r="L18" s="13"/>
      <c r="M18" s="14"/>
      <c r="N18" s="14"/>
      <c r="O18" s="14"/>
      <c r="P18" s="14"/>
      <c r="Q18" s="15"/>
    </row>
    <row r="19" spans="2:17" x14ac:dyDescent="0.3">
      <c r="B19" s="62" t="s">
        <v>14</v>
      </c>
      <c r="C19" s="58">
        <f>$I$7*Budget!H20</f>
        <v>5640</v>
      </c>
      <c r="D19" s="13"/>
      <c r="E19" s="14"/>
      <c r="F19" s="14"/>
      <c r="G19" s="14"/>
      <c r="H19" s="14"/>
      <c r="I19" s="15"/>
      <c r="K19" s="47"/>
      <c r="L19" s="13"/>
      <c r="M19" s="14"/>
      <c r="N19" s="14"/>
      <c r="O19" s="14"/>
      <c r="P19" s="14"/>
      <c r="Q19" s="15"/>
    </row>
    <row r="20" spans="2:17" x14ac:dyDescent="0.3">
      <c r="B20" s="62" t="s">
        <v>15</v>
      </c>
      <c r="C20" s="58">
        <f>$I$7*Budget!H21</f>
        <v>11985</v>
      </c>
      <c r="D20" s="13"/>
      <c r="E20" s="14"/>
      <c r="F20" s="14"/>
      <c r="G20" s="14"/>
      <c r="H20" s="14"/>
      <c r="I20" s="15"/>
      <c r="K20" s="47"/>
      <c r="L20" s="13"/>
      <c r="M20" s="14"/>
      <c r="N20" s="14"/>
      <c r="O20" s="14"/>
      <c r="P20" s="14"/>
      <c r="Q20" s="15"/>
    </row>
    <row r="21" spans="2:17" x14ac:dyDescent="0.3">
      <c r="B21" s="47"/>
      <c r="C21" s="58"/>
      <c r="D21" s="13"/>
      <c r="E21" s="14"/>
      <c r="F21" s="14"/>
      <c r="G21" s="14"/>
      <c r="H21" s="14"/>
      <c r="I21" s="15"/>
      <c r="K21" s="47"/>
      <c r="L21" s="13"/>
      <c r="M21" s="14"/>
      <c r="N21" s="14"/>
      <c r="O21" s="14"/>
      <c r="P21" s="14"/>
      <c r="Q21" s="15"/>
    </row>
    <row r="22" spans="2:17" ht="15.6" x14ac:dyDescent="0.3">
      <c r="B22" s="60" t="s">
        <v>27</v>
      </c>
      <c r="C22" s="58"/>
      <c r="D22" s="13"/>
      <c r="E22" s="14"/>
      <c r="F22" s="14"/>
      <c r="G22" s="14"/>
      <c r="H22" s="14"/>
      <c r="I22" s="15"/>
      <c r="K22" s="47"/>
      <c r="L22" s="13"/>
      <c r="M22" s="14"/>
      <c r="N22" s="14"/>
      <c r="O22" s="14"/>
      <c r="P22" s="14"/>
      <c r="Q22" s="15"/>
    </row>
    <row r="23" spans="2:17" x14ac:dyDescent="0.3">
      <c r="B23" s="61" t="s">
        <v>2</v>
      </c>
      <c r="C23" s="58"/>
      <c r="D23" s="13"/>
      <c r="E23" s="14"/>
      <c r="F23" s="14"/>
      <c r="G23" s="14"/>
      <c r="H23" s="14"/>
      <c r="I23" s="15"/>
      <c r="K23" s="47"/>
      <c r="L23" s="13"/>
      <c r="M23" s="14"/>
      <c r="N23" s="14"/>
      <c r="O23" s="14"/>
      <c r="P23" s="14"/>
      <c r="Q23" s="15"/>
    </row>
    <row r="24" spans="2:17" x14ac:dyDescent="0.3">
      <c r="B24" s="62" t="s">
        <v>16</v>
      </c>
      <c r="C24" s="58">
        <f>$I$7*Budget!H25</f>
        <v>8460</v>
      </c>
      <c r="D24" s="13"/>
      <c r="E24" s="14"/>
      <c r="F24" s="14"/>
      <c r="G24" s="14"/>
      <c r="H24" s="14"/>
      <c r="I24" s="15"/>
      <c r="K24" s="47"/>
      <c r="L24" s="13"/>
      <c r="M24" s="14"/>
      <c r="N24" s="14"/>
      <c r="O24" s="14"/>
      <c r="P24" s="14"/>
      <c r="Q24" s="15"/>
    </row>
    <row r="25" spans="2:17" x14ac:dyDescent="0.3">
      <c r="B25" s="62" t="s">
        <v>17</v>
      </c>
      <c r="C25" s="58">
        <f>$I$7*Budget!H26</f>
        <v>4230</v>
      </c>
      <c r="D25" s="13"/>
      <c r="E25" s="14"/>
      <c r="F25" s="14"/>
      <c r="G25" s="14"/>
      <c r="H25" s="14"/>
      <c r="I25" s="15"/>
      <c r="K25" s="47"/>
      <c r="L25" s="13"/>
      <c r="M25" s="14"/>
      <c r="N25" s="14"/>
      <c r="O25" s="14"/>
      <c r="P25" s="14"/>
      <c r="Q25" s="15"/>
    </row>
    <row r="26" spans="2:17" x14ac:dyDescent="0.3">
      <c r="B26" s="62" t="s">
        <v>18</v>
      </c>
      <c r="C26" s="58">
        <f>$I$7*Budget!H27</f>
        <v>4230</v>
      </c>
      <c r="D26" s="13"/>
      <c r="E26" s="14"/>
      <c r="F26" s="14"/>
      <c r="G26" s="14"/>
      <c r="H26" s="14"/>
      <c r="I26" s="15"/>
      <c r="K26" s="47"/>
      <c r="L26" s="13"/>
      <c r="M26" s="14"/>
      <c r="N26" s="14"/>
      <c r="O26" s="14"/>
      <c r="P26" s="14"/>
      <c r="Q26" s="15"/>
    </row>
    <row r="27" spans="2:17" x14ac:dyDescent="0.3">
      <c r="B27" s="62" t="s">
        <v>19</v>
      </c>
      <c r="C27" s="58">
        <f>$I$7*Budget!H28</f>
        <v>23265</v>
      </c>
      <c r="D27" s="13"/>
      <c r="E27" s="14"/>
      <c r="F27" s="14"/>
      <c r="G27" s="14"/>
      <c r="H27" s="14"/>
      <c r="I27" s="15"/>
      <c r="K27" s="47"/>
      <c r="L27" s="13"/>
      <c r="M27" s="14"/>
      <c r="N27" s="14"/>
      <c r="O27" s="14"/>
      <c r="P27" s="14"/>
      <c r="Q27" s="15"/>
    </row>
    <row r="28" spans="2:17" x14ac:dyDescent="0.3">
      <c r="B28" s="62" t="s">
        <v>20</v>
      </c>
      <c r="C28" s="58">
        <f>$I$7*Budget!H29</f>
        <v>6345</v>
      </c>
      <c r="D28" s="13"/>
      <c r="E28" s="14"/>
      <c r="F28" s="14"/>
      <c r="G28" s="14"/>
      <c r="H28" s="14"/>
      <c r="I28" s="15"/>
      <c r="K28" s="47"/>
      <c r="L28" s="13"/>
      <c r="M28" s="14"/>
      <c r="N28" s="14"/>
      <c r="O28" s="14"/>
      <c r="P28" s="14"/>
      <c r="Q28" s="15"/>
    </row>
    <row r="29" spans="2:17" x14ac:dyDescent="0.3">
      <c r="B29" s="47"/>
      <c r="C29" s="58"/>
      <c r="D29" s="13"/>
      <c r="E29" s="14"/>
      <c r="F29" s="14"/>
      <c r="G29" s="14"/>
      <c r="H29" s="14"/>
      <c r="I29" s="15"/>
      <c r="K29" s="47"/>
      <c r="L29" s="13"/>
      <c r="M29" s="14"/>
      <c r="N29" s="14"/>
      <c r="O29" s="14"/>
      <c r="P29" s="14"/>
      <c r="Q29" s="15"/>
    </row>
    <row r="30" spans="2:17" ht="15.6" x14ac:dyDescent="0.3">
      <c r="B30" s="60" t="s">
        <v>21</v>
      </c>
      <c r="C30" s="58"/>
      <c r="D30" s="13"/>
      <c r="E30" s="14"/>
      <c r="F30" s="14"/>
      <c r="G30" s="14"/>
      <c r="H30" s="14"/>
      <c r="I30" s="15"/>
      <c r="K30" s="47"/>
      <c r="L30" s="13"/>
      <c r="M30" s="14"/>
      <c r="N30" s="14"/>
      <c r="O30" s="14"/>
      <c r="P30" s="14"/>
      <c r="Q30" s="15"/>
    </row>
    <row r="31" spans="2:17" x14ac:dyDescent="0.3">
      <c r="B31" s="61" t="s">
        <v>2</v>
      </c>
      <c r="C31" s="58"/>
      <c r="D31" s="13"/>
      <c r="E31" s="14"/>
      <c r="F31" s="14"/>
      <c r="G31" s="14"/>
      <c r="H31" s="14"/>
      <c r="I31" s="15"/>
      <c r="K31" s="47"/>
      <c r="L31" s="13"/>
      <c r="M31" s="14"/>
      <c r="N31" s="14"/>
      <c r="O31" s="14"/>
      <c r="P31" s="14"/>
      <c r="Q31" s="15"/>
    </row>
    <row r="32" spans="2:17" x14ac:dyDescent="0.3">
      <c r="B32" s="62" t="s">
        <v>22</v>
      </c>
      <c r="C32" s="58">
        <f>$I$7*Budget!H33</f>
        <v>30550</v>
      </c>
      <c r="D32" s="13"/>
      <c r="E32" s="14"/>
      <c r="F32" s="14"/>
      <c r="G32" s="14"/>
      <c r="H32" s="14"/>
      <c r="I32" s="15"/>
      <c r="K32" s="47"/>
      <c r="L32" s="13"/>
      <c r="M32" s="14"/>
      <c r="N32" s="14"/>
      <c r="O32" s="14"/>
      <c r="P32" s="14"/>
      <c r="Q32" s="15"/>
    </row>
    <row r="33" spans="2:17" x14ac:dyDescent="0.3">
      <c r="B33" s="62" t="s">
        <v>88</v>
      </c>
      <c r="C33" s="58">
        <f>$I$7*Budget!H34</f>
        <v>18330</v>
      </c>
      <c r="D33" s="13"/>
      <c r="E33" s="14"/>
      <c r="F33" s="14"/>
      <c r="G33" s="14"/>
      <c r="H33" s="14"/>
      <c r="I33" s="15"/>
      <c r="K33" s="47"/>
      <c r="L33" s="13"/>
      <c r="M33" s="14"/>
      <c r="N33" s="14"/>
      <c r="O33" s="14"/>
      <c r="P33" s="14"/>
      <c r="Q33" s="15"/>
    </row>
    <row r="34" spans="2:17" x14ac:dyDescent="0.3">
      <c r="B34" s="62" t="s">
        <v>24</v>
      </c>
      <c r="C34" s="58">
        <f>$I$7*Budget!H35</f>
        <v>48880.000000000007</v>
      </c>
      <c r="D34" s="13"/>
      <c r="E34" s="14"/>
      <c r="F34" s="14"/>
      <c r="G34" s="14"/>
      <c r="H34" s="14"/>
      <c r="I34" s="15"/>
      <c r="K34" s="47"/>
      <c r="L34" s="13"/>
      <c r="M34" s="14"/>
      <c r="N34" s="14"/>
      <c r="O34" s="14"/>
      <c r="P34" s="14"/>
      <c r="Q34" s="15"/>
    </row>
    <row r="35" spans="2:17" x14ac:dyDescent="0.3">
      <c r="B35" s="62" t="s">
        <v>25</v>
      </c>
      <c r="C35" s="58">
        <f>$I$7*Budget!H36</f>
        <v>12220.000000000002</v>
      </c>
      <c r="D35" s="13"/>
      <c r="E35" s="14"/>
      <c r="F35" s="14"/>
      <c r="G35" s="14"/>
      <c r="H35" s="14"/>
      <c r="I35" s="15"/>
      <c r="K35" s="47"/>
      <c r="L35" s="13"/>
      <c r="M35" s="14"/>
      <c r="N35" s="14"/>
      <c r="O35" s="14"/>
      <c r="P35" s="14"/>
      <c r="Q35" s="15"/>
    </row>
    <row r="36" spans="2:17" ht="15" thickBot="1" x14ac:dyDescent="0.35">
      <c r="B36" s="63" t="s">
        <v>26</v>
      </c>
      <c r="C36" s="59">
        <f>$I$7*Budget!H37</f>
        <v>12220.000000000002</v>
      </c>
      <c r="D36" s="34"/>
      <c r="E36" s="35"/>
      <c r="F36" s="35"/>
      <c r="G36" s="35"/>
      <c r="H36" s="35"/>
      <c r="I36" s="26"/>
      <c r="K36" s="46"/>
      <c r="L36" s="34"/>
      <c r="M36" s="35"/>
      <c r="N36" s="35"/>
      <c r="O36" s="35"/>
      <c r="P36" s="35"/>
      <c r="Q36" s="26"/>
    </row>
  </sheetData>
  <mergeCells count="4">
    <mergeCell ref="H5:L5"/>
    <mergeCell ref="I7:K7"/>
    <mergeCell ref="C9:I9"/>
    <mergeCell ref="K9:Q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9436A-883B-47AB-A103-CD05C7E3A806}">
  <dimension ref="B4:M48"/>
  <sheetViews>
    <sheetView workbookViewId="0">
      <selection activeCell="M8" sqref="M8:M21"/>
    </sheetView>
  </sheetViews>
  <sheetFormatPr defaultRowHeight="14.4" x14ac:dyDescent="0.3"/>
  <cols>
    <col min="3" max="3" width="25.21875" bestFit="1" customWidth="1"/>
  </cols>
  <sheetData>
    <row r="4" spans="2:13" ht="18" x14ac:dyDescent="0.35">
      <c r="B4" s="125" t="s">
        <v>70</v>
      </c>
      <c r="C4" s="1"/>
      <c r="D4" s="126"/>
      <c r="E4" s="3" t="s">
        <v>30</v>
      </c>
      <c r="F4" s="3"/>
      <c r="G4" s="3"/>
      <c r="H4" s="3"/>
      <c r="I4" s="3"/>
      <c r="J4" s="3"/>
      <c r="K4" s="3"/>
      <c r="L4" s="3"/>
      <c r="M4" s="3" t="s">
        <v>75</v>
      </c>
    </row>
    <row r="5" spans="2:13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x14ac:dyDescent="0.3">
      <c r="B6" s="2"/>
      <c r="C6" s="2"/>
      <c r="D6" s="2"/>
      <c r="E6" s="3" t="s">
        <v>33</v>
      </c>
      <c r="F6" s="3" t="s">
        <v>34</v>
      </c>
      <c r="G6" s="3" t="s">
        <v>35</v>
      </c>
      <c r="H6" s="3" t="s">
        <v>36</v>
      </c>
      <c r="I6" s="3" t="s">
        <v>37</v>
      </c>
      <c r="J6" s="3" t="s">
        <v>38</v>
      </c>
      <c r="K6" s="3" t="s">
        <v>39</v>
      </c>
      <c r="L6" s="2"/>
      <c r="M6" s="2"/>
    </row>
    <row r="7" spans="2:13" x14ac:dyDescent="0.3">
      <c r="B7" s="2" t="s">
        <v>73</v>
      </c>
      <c r="C7" s="2"/>
      <c r="D7" s="2"/>
      <c r="E7" s="3"/>
      <c r="F7" s="3"/>
      <c r="G7" s="3"/>
      <c r="H7" s="3"/>
      <c r="I7" s="3"/>
      <c r="J7" s="3"/>
      <c r="K7" s="3"/>
      <c r="L7" s="2"/>
      <c r="M7" s="2"/>
    </row>
    <row r="8" spans="2:13" x14ac:dyDescent="0.3">
      <c r="B8" s="2"/>
      <c r="C8" s="2" t="s">
        <v>10</v>
      </c>
      <c r="D8" s="2"/>
      <c r="E8" s="128">
        <f>'Actual 2026'!C15-'Expense and Savings'!E35</f>
        <v>1200</v>
      </c>
      <c r="F8" s="128">
        <f>'Actual 2026'!D15-'Expense and Savings'!F35</f>
        <v>0</v>
      </c>
      <c r="G8" s="128">
        <f>'Actual 2026'!E15-'Expense and Savings'!G35</f>
        <v>0</v>
      </c>
      <c r="H8" s="128">
        <f>'Actual 2026'!F15-'Expense and Savings'!H35</f>
        <v>0</v>
      </c>
      <c r="I8" s="128">
        <f>'Actual 2026'!G15-'Expense and Savings'!I35</f>
        <v>0</v>
      </c>
      <c r="J8" s="128">
        <f>'Actual 2026'!H15-'Expense and Savings'!J35</f>
        <v>0</v>
      </c>
      <c r="K8" s="128">
        <f>'Actual 2026'!I15-'Expense and Savings'!K35</f>
        <v>0</v>
      </c>
      <c r="L8" s="2"/>
      <c r="M8" s="2">
        <f>SUM(E8:K8)</f>
        <v>1200</v>
      </c>
    </row>
    <row r="9" spans="2:13" x14ac:dyDescent="0.3">
      <c r="B9" s="2"/>
      <c r="C9" s="2" t="s">
        <v>11</v>
      </c>
      <c r="D9" s="2"/>
      <c r="E9" s="128">
        <f>'Actual 2026'!C16-'Expense and Savings'!E36</f>
        <v>10600</v>
      </c>
      <c r="F9" s="128">
        <f>'Actual 2026'!D16-'Expense and Savings'!F36</f>
        <v>0</v>
      </c>
      <c r="G9" s="128">
        <f>'Actual 2026'!E16-'Expense and Savings'!G36</f>
        <v>0</v>
      </c>
      <c r="H9" s="128">
        <f>'Actual 2026'!F16-'Expense and Savings'!H36</f>
        <v>0</v>
      </c>
      <c r="I9" s="128">
        <f>'Actual 2026'!G16-'Expense and Savings'!I36</f>
        <v>0</v>
      </c>
      <c r="J9" s="128">
        <f>'Actual 2026'!H16-'Expense and Savings'!J36</f>
        <v>0</v>
      </c>
      <c r="K9" s="128">
        <f>'Actual 2026'!I16-'Expense and Savings'!K36</f>
        <v>0</v>
      </c>
      <c r="L9" s="2"/>
      <c r="M9" s="2">
        <f t="shared" ref="M9:M13" si="0">SUM(E9:K9)</f>
        <v>10600</v>
      </c>
    </row>
    <row r="10" spans="2:13" x14ac:dyDescent="0.3">
      <c r="B10" s="2"/>
      <c r="C10" s="2" t="s">
        <v>12</v>
      </c>
      <c r="D10" s="2"/>
      <c r="E10" s="128">
        <f>'Actual 2026'!C17-'Expense and Savings'!E37</f>
        <v>7050</v>
      </c>
      <c r="F10" s="128">
        <f>'Actual 2026'!D17-'Expense and Savings'!F37</f>
        <v>0</v>
      </c>
      <c r="G10" s="128">
        <f>'Actual 2026'!E17-'Expense and Savings'!G37</f>
        <v>0</v>
      </c>
      <c r="H10" s="128">
        <f>'Actual 2026'!F17-'Expense and Savings'!H37</f>
        <v>0</v>
      </c>
      <c r="I10" s="128">
        <f>'Actual 2026'!G17-'Expense and Savings'!I37</f>
        <v>0</v>
      </c>
      <c r="J10" s="128">
        <f>'Actual 2026'!H17-'Expense and Savings'!J37</f>
        <v>0</v>
      </c>
      <c r="K10" s="128">
        <f>'Actual 2026'!I17-'Expense and Savings'!K37</f>
        <v>0</v>
      </c>
      <c r="L10" s="2"/>
      <c r="M10" s="2">
        <f t="shared" si="0"/>
        <v>7050</v>
      </c>
    </row>
    <row r="11" spans="2:13" x14ac:dyDescent="0.3">
      <c r="B11" s="2"/>
      <c r="C11" s="2" t="s">
        <v>13</v>
      </c>
      <c r="D11" s="2"/>
      <c r="E11" s="128">
        <f>'Actual 2026'!C18-'Expense and Savings'!E38</f>
        <v>-4275</v>
      </c>
      <c r="F11" s="128">
        <f>'Actual 2026'!D18-'Expense and Savings'!F38</f>
        <v>0</v>
      </c>
      <c r="G11" s="128">
        <f>'Actual 2026'!E18-'Expense and Savings'!G38</f>
        <v>0</v>
      </c>
      <c r="H11" s="128">
        <f>'Actual 2026'!F18-'Expense and Savings'!H38</f>
        <v>0</v>
      </c>
      <c r="I11" s="128">
        <f>'Actual 2026'!G18-'Expense and Savings'!I38</f>
        <v>0</v>
      </c>
      <c r="J11" s="128">
        <f>'Actual 2026'!H18-'Expense and Savings'!J38</f>
        <v>0</v>
      </c>
      <c r="K11" s="128">
        <f>'Actual 2026'!I18-'Expense and Savings'!K38</f>
        <v>0</v>
      </c>
      <c r="L11" s="2"/>
      <c r="M11" s="2">
        <f t="shared" si="0"/>
        <v>-4275</v>
      </c>
    </row>
    <row r="12" spans="2:13" x14ac:dyDescent="0.3">
      <c r="B12" s="2"/>
      <c r="C12" s="2" t="s">
        <v>14</v>
      </c>
      <c r="D12" s="2"/>
      <c r="E12" s="128">
        <f>'Actual 2026'!C19-'Expense and Savings'!E39</f>
        <v>4440</v>
      </c>
      <c r="F12" s="128">
        <f>'Actual 2026'!D19-'Expense and Savings'!F39</f>
        <v>0</v>
      </c>
      <c r="G12" s="128">
        <f>'Actual 2026'!E19-'Expense and Savings'!G39</f>
        <v>0</v>
      </c>
      <c r="H12" s="128">
        <f>'Actual 2026'!F19-'Expense and Savings'!H39</f>
        <v>0</v>
      </c>
      <c r="I12" s="128">
        <f>'Actual 2026'!G19-'Expense and Savings'!I39</f>
        <v>0</v>
      </c>
      <c r="J12" s="128">
        <f>'Actual 2026'!H19-'Expense and Savings'!J39</f>
        <v>0</v>
      </c>
      <c r="K12" s="128">
        <f>'Actual 2026'!I19-'Expense and Savings'!K39</f>
        <v>0</v>
      </c>
      <c r="L12" s="2"/>
      <c r="M12" s="2">
        <f t="shared" si="0"/>
        <v>4440</v>
      </c>
    </row>
    <row r="13" spans="2:13" x14ac:dyDescent="0.3">
      <c r="B13" s="2"/>
      <c r="C13" s="2" t="s">
        <v>15</v>
      </c>
      <c r="D13" s="2"/>
      <c r="E13" s="128">
        <f>'Actual 2026'!C20-'Expense and Savings'!E40</f>
        <v>11985</v>
      </c>
      <c r="F13" s="128">
        <f>'Actual 2026'!D20-'Expense and Savings'!F40</f>
        <v>0</v>
      </c>
      <c r="G13" s="128">
        <f>'Actual 2026'!E20-'Expense and Savings'!G40</f>
        <v>0</v>
      </c>
      <c r="H13" s="128">
        <f>'Actual 2026'!F20-'Expense and Savings'!H40</f>
        <v>0</v>
      </c>
      <c r="I13" s="128">
        <f>'Actual 2026'!G20-'Expense and Savings'!I40</f>
        <v>0</v>
      </c>
      <c r="J13" s="128">
        <f>'Actual 2026'!H20-'Expense and Savings'!J40</f>
        <v>0</v>
      </c>
      <c r="K13" s="128">
        <f>'Actual 2026'!I20-'Expense and Savings'!K40</f>
        <v>0</v>
      </c>
      <c r="L13" s="2"/>
      <c r="M13" s="2">
        <f t="shared" si="0"/>
        <v>11985</v>
      </c>
    </row>
    <row r="14" spans="2:13" x14ac:dyDescent="0.3">
      <c r="B14" s="2"/>
      <c r="C14" s="2"/>
      <c r="D14" s="2"/>
      <c r="E14" s="128"/>
      <c r="F14" s="128"/>
      <c r="G14" s="128"/>
      <c r="H14" s="128"/>
      <c r="I14" s="128"/>
      <c r="J14" s="128"/>
      <c r="K14" s="128"/>
      <c r="L14" s="2"/>
      <c r="M14" s="2"/>
    </row>
    <row r="15" spans="2:13" x14ac:dyDescent="0.3">
      <c r="B15" s="2" t="s">
        <v>71</v>
      </c>
      <c r="C15" s="2"/>
      <c r="D15" s="2"/>
      <c r="E15" s="128"/>
      <c r="F15" s="128"/>
      <c r="G15" s="128"/>
      <c r="H15" s="128"/>
      <c r="I15" s="128"/>
      <c r="J15" s="128"/>
      <c r="K15" s="128"/>
      <c r="L15" s="2"/>
      <c r="M15" s="2"/>
    </row>
    <row r="16" spans="2:13" x14ac:dyDescent="0.3">
      <c r="B16" s="2"/>
      <c r="C16" s="2" t="s">
        <v>16</v>
      </c>
      <c r="D16" s="2"/>
      <c r="E16" s="2">
        <f>'Actual 2026'!C24-'Expense and Savings'!E43</f>
        <v>8460</v>
      </c>
      <c r="F16" s="2">
        <f>'Actual 2026'!D24-'Expense and Savings'!F43</f>
        <v>0</v>
      </c>
      <c r="G16" s="2">
        <f>'Actual 2026'!E24-'Expense and Savings'!G43</f>
        <v>0</v>
      </c>
      <c r="H16" s="2">
        <f>'Actual 2026'!F24-'Expense and Savings'!H43</f>
        <v>0</v>
      </c>
      <c r="I16" s="2">
        <f>'Actual 2026'!G24-'Expense and Savings'!I43</f>
        <v>0</v>
      </c>
      <c r="J16" s="2">
        <f>'Actual 2026'!H24-'Expense and Savings'!J43</f>
        <v>0</v>
      </c>
      <c r="K16" s="2">
        <f>'Actual 2026'!I24-'Expense and Savings'!K43</f>
        <v>0</v>
      </c>
      <c r="L16" s="2"/>
      <c r="M16" s="2">
        <f t="shared" ref="M16:M20" si="1">SUM(E16:K16)</f>
        <v>8460</v>
      </c>
    </row>
    <row r="17" spans="2:13" x14ac:dyDescent="0.3">
      <c r="B17" s="2"/>
      <c r="C17" s="2" t="s">
        <v>17</v>
      </c>
      <c r="D17" s="2"/>
      <c r="E17" s="2">
        <f>'Actual 2026'!C25-'Expense and Savings'!E44</f>
        <v>-770</v>
      </c>
      <c r="F17" s="2">
        <f>'Actual 2026'!D25-'Expense and Savings'!F44</f>
        <v>0</v>
      </c>
      <c r="G17" s="2">
        <f>'Actual 2026'!E25-'Expense and Savings'!G44</f>
        <v>0</v>
      </c>
      <c r="H17" s="2">
        <f>'Actual 2026'!F25-'Expense and Savings'!H44</f>
        <v>0</v>
      </c>
      <c r="I17" s="2">
        <f>'Actual 2026'!G25-'Expense and Savings'!I44</f>
        <v>0</v>
      </c>
      <c r="J17" s="2">
        <f>'Actual 2026'!H25-'Expense and Savings'!J44</f>
        <v>0</v>
      </c>
      <c r="K17" s="2">
        <f>'Actual 2026'!I25-'Expense and Savings'!K44</f>
        <v>0</v>
      </c>
      <c r="L17" s="2"/>
      <c r="M17" s="2">
        <f t="shared" si="1"/>
        <v>-770</v>
      </c>
    </row>
    <row r="18" spans="2:13" x14ac:dyDescent="0.3">
      <c r="B18" s="2"/>
      <c r="C18" s="2" t="s">
        <v>72</v>
      </c>
      <c r="D18" s="2"/>
      <c r="E18" s="2">
        <f>'Actual 2026'!C26-'Expense and Savings'!E45</f>
        <v>2330</v>
      </c>
      <c r="F18" s="2">
        <f>'Actual 2026'!D26-'Expense and Savings'!F45</f>
        <v>0</v>
      </c>
      <c r="G18" s="2">
        <f>'Actual 2026'!E26-'Expense and Savings'!G45</f>
        <v>0</v>
      </c>
      <c r="H18" s="2">
        <f>'Actual 2026'!F26-'Expense and Savings'!H45</f>
        <v>0</v>
      </c>
      <c r="I18" s="2">
        <f>'Actual 2026'!G26-'Expense and Savings'!I45</f>
        <v>0</v>
      </c>
      <c r="J18" s="2">
        <f>'Actual 2026'!H26-'Expense and Savings'!J45</f>
        <v>0</v>
      </c>
      <c r="K18" s="2">
        <f>'Actual 2026'!I26-'Expense and Savings'!K45</f>
        <v>0</v>
      </c>
      <c r="L18" s="2"/>
      <c r="M18" s="2">
        <f t="shared" si="1"/>
        <v>2330</v>
      </c>
    </row>
    <row r="19" spans="2:13" x14ac:dyDescent="0.3">
      <c r="B19" s="2"/>
      <c r="C19" s="2" t="s">
        <v>19</v>
      </c>
      <c r="D19" s="2"/>
      <c r="E19" s="2">
        <f>'Actual 2026'!C27-'Expense and Savings'!E46</f>
        <v>1265</v>
      </c>
      <c r="F19" s="2">
        <f>'Actual 2026'!D27-'Expense and Savings'!F46</f>
        <v>0</v>
      </c>
      <c r="G19" s="2">
        <f>'Actual 2026'!E27-'Expense and Savings'!G46</f>
        <v>0</v>
      </c>
      <c r="H19" s="2">
        <f>'Actual 2026'!F27-'Expense and Savings'!H46</f>
        <v>0</v>
      </c>
      <c r="I19" s="2">
        <f>'Actual 2026'!G27-'Expense and Savings'!I46</f>
        <v>0</v>
      </c>
      <c r="J19" s="2">
        <f>'Actual 2026'!H27-'Expense and Savings'!J46</f>
        <v>0</v>
      </c>
      <c r="K19" s="2">
        <f>'Actual 2026'!I27-'Expense and Savings'!K46</f>
        <v>0</v>
      </c>
      <c r="L19" s="2"/>
      <c r="M19" s="2">
        <f t="shared" si="1"/>
        <v>1265</v>
      </c>
    </row>
    <row r="20" spans="2:13" x14ac:dyDescent="0.3">
      <c r="B20" s="2"/>
      <c r="C20" s="2" t="s">
        <v>20</v>
      </c>
      <c r="D20" s="2"/>
      <c r="E20" s="2">
        <f>'Actual 2026'!C28-'Expense and Savings'!E47</f>
        <v>6345</v>
      </c>
      <c r="F20" s="2">
        <f>'Actual 2026'!D28-'Expense and Savings'!F47</f>
        <v>0</v>
      </c>
      <c r="G20" s="2">
        <f>'Actual 2026'!E28-'Expense and Savings'!G47</f>
        <v>0</v>
      </c>
      <c r="H20" s="2">
        <f>'Actual 2026'!F28-'Expense and Savings'!H47</f>
        <v>0</v>
      </c>
      <c r="I20" s="2">
        <f>'Actual 2026'!G28-'Expense and Savings'!I47</f>
        <v>0</v>
      </c>
      <c r="J20" s="2">
        <f>'Actual 2026'!H28-'Expense and Savings'!J47</f>
        <v>0</v>
      </c>
      <c r="K20" s="2">
        <f>'Actual 2026'!I28-'Expense and Savings'!K47</f>
        <v>0</v>
      </c>
      <c r="L20" s="2"/>
      <c r="M20" s="2">
        <f t="shared" si="1"/>
        <v>6345</v>
      </c>
    </row>
    <row r="21" spans="2:13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2:13" x14ac:dyDescent="0.3">
      <c r="B22" s="2" t="s">
        <v>73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2:13" x14ac:dyDescent="0.3">
      <c r="B23" s="2"/>
      <c r="C23" s="2" t="s">
        <v>22</v>
      </c>
      <c r="D23" s="2"/>
      <c r="E23" s="2">
        <f>'Detailed Expenses'!F67</f>
        <v>10000</v>
      </c>
      <c r="F23" s="2">
        <f>'Detailed Expenses'!G67</f>
        <v>0</v>
      </c>
      <c r="G23" s="2">
        <f>'Detailed Expenses'!H67</f>
        <v>0</v>
      </c>
      <c r="H23" s="2">
        <f>'Detailed Expenses'!I67</f>
        <v>0</v>
      </c>
      <c r="I23" s="2">
        <f>'Detailed Expenses'!J67</f>
        <v>0</v>
      </c>
      <c r="J23" s="2">
        <f>'Detailed Expenses'!K67</f>
        <v>0</v>
      </c>
      <c r="K23" s="2">
        <f>'Detailed Expenses'!L67</f>
        <v>0</v>
      </c>
      <c r="L23" s="2"/>
      <c r="M23" s="2">
        <f t="shared" ref="M23:M27" si="2">SUM(E23:K23)</f>
        <v>10000</v>
      </c>
    </row>
    <row r="24" spans="2:13" x14ac:dyDescent="0.3">
      <c r="B24" s="2"/>
      <c r="C24" s="2" t="s">
        <v>88</v>
      </c>
      <c r="D24" s="2"/>
      <c r="E24" s="2">
        <f>'Detailed Expenses'!F70</f>
        <v>13000</v>
      </c>
      <c r="F24" s="2">
        <f>'Detailed Expenses'!G70</f>
        <v>0</v>
      </c>
      <c r="G24" s="2">
        <f>'Detailed Expenses'!H70</f>
        <v>0</v>
      </c>
      <c r="H24" s="2">
        <f>'Detailed Expenses'!I70</f>
        <v>0</v>
      </c>
      <c r="I24" s="2">
        <f>'Detailed Expenses'!J70</f>
        <v>0</v>
      </c>
      <c r="J24" s="2">
        <f>'Detailed Expenses'!K70</f>
        <v>0</v>
      </c>
      <c r="K24" s="2">
        <f>'Detailed Expenses'!L70</f>
        <v>0</v>
      </c>
      <c r="L24" s="2"/>
      <c r="M24" s="2">
        <f t="shared" si="2"/>
        <v>13000</v>
      </c>
    </row>
    <row r="25" spans="2:13" x14ac:dyDescent="0.3">
      <c r="B25" s="2"/>
      <c r="C25" s="2" t="s">
        <v>24</v>
      </c>
      <c r="D25" s="2"/>
      <c r="E25" s="2">
        <f>'Detailed Expenses'!F73</f>
        <v>48880</v>
      </c>
      <c r="F25" s="2">
        <f>'Detailed Expenses'!G73</f>
        <v>0</v>
      </c>
      <c r="G25" s="2">
        <f>'Detailed Expenses'!H73</f>
        <v>0</v>
      </c>
      <c r="H25" s="2">
        <f>'Detailed Expenses'!I73</f>
        <v>0</v>
      </c>
      <c r="I25" s="2">
        <f>'Detailed Expenses'!J73</f>
        <v>0</v>
      </c>
      <c r="J25" s="2">
        <f>'Detailed Expenses'!K73</f>
        <v>0</v>
      </c>
      <c r="K25" s="2">
        <f>'Detailed Expenses'!L73</f>
        <v>0</v>
      </c>
      <c r="L25" s="2"/>
      <c r="M25" s="2">
        <f t="shared" si="2"/>
        <v>48880</v>
      </c>
    </row>
    <row r="26" spans="2:13" x14ac:dyDescent="0.3">
      <c r="B26" s="2"/>
      <c r="C26" s="2" t="s">
        <v>25</v>
      </c>
      <c r="D26" s="2"/>
      <c r="E26" s="2">
        <f>'Detailed Expenses'!F76</f>
        <v>12220</v>
      </c>
      <c r="F26" s="2">
        <f>'Detailed Expenses'!G76</f>
        <v>0</v>
      </c>
      <c r="G26" s="2">
        <f>'Detailed Expenses'!H76</f>
        <v>0</v>
      </c>
      <c r="H26" s="2">
        <f>'Detailed Expenses'!I76</f>
        <v>0</v>
      </c>
      <c r="I26" s="2">
        <f>'Detailed Expenses'!J76</f>
        <v>0</v>
      </c>
      <c r="J26" s="2">
        <f>'Detailed Expenses'!K76</f>
        <v>0</v>
      </c>
      <c r="K26" s="2">
        <f>'Detailed Expenses'!L76</f>
        <v>0</v>
      </c>
      <c r="L26" s="2"/>
      <c r="M26" s="2">
        <f t="shared" si="2"/>
        <v>12220</v>
      </c>
    </row>
    <row r="27" spans="2:13" x14ac:dyDescent="0.3">
      <c r="B27" s="2"/>
      <c r="C27" s="2" t="s">
        <v>26</v>
      </c>
      <c r="D27" s="2"/>
      <c r="E27" s="2">
        <f>'Detailed Expenses'!F79</f>
        <v>11000</v>
      </c>
      <c r="F27" s="2">
        <f>'Detailed Expenses'!G79</f>
        <v>0</v>
      </c>
      <c r="G27" s="2">
        <f>'Detailed Expenses'!H79</f>
        <v>0</v>
      </c>
      <c r="H27" s="2">
        <f>'Detailed Expenses'!I79</f>
        <v>0</v>
      </c>
      <c r="I27" s="2">
        <f>'Detailed Expenses'!J79</f>
        <v>0</v>
      </c>
      <c r="J27" s="2">
        <f>'Detailed Expenses'!K79</f>
        <v>0</v>
      </c>
      <c r="K27" s="2">
        <f>'Detailed Expenses'!L79</f>
        <v>0</v>
      </c>
      <c r="L27" s="2"/>
      <c r="M27" s="2">
        <f t="shared" si="2"/>
        <v>11000</v>
      </c>
    </row>
    <row r="28" spans="2:13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32" spans="2:13" ht="18" x14ac:dyDescent="0.35">
      <c r="B32" s="127" t="s">
        <v>77</v>
      </c>
      <c r="C32" s="127"/>
      <c r="D32" s="2"/>
      <c r="E32" s="3" t="s">
        <v>74</v>
      </c>
      <c r="F32" s="3"/>
      <c r="G32" s="3"/>
      <c r="H32" s="3"/>
      <c r="I32" s="3"/>
      <c r="J32" s="3"/>
      <c r="K32" s="3"/>
      <c r="L32" s="3"/>
      <c r="M32" s="3" t="s">
        <v>75</v>
      </c>
    </row>
    <row r="33" spans="2:13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2:13" x14ac:dyDescent="0.3">
      <c r="B34" s="2" t="s">
        <v>73</v>
      </c>
      <c r="C34" s="2"/>
      <c r="D34" s="2"/>
      <c r="E34" s="3" t="s">
        <v>33</v>
      </c>
      <c r="F34" s="3" t="s">
        <v>34</v>
      </c>
      <c r="G34" s="3" t="s">
        <v>35</v>
      </c>
      <c r="H34" s="3" t="s">
        <v>36</v>
      </c>
      <c r="I34" s="3" t="s">
        <v>37</v>
      </c>
      <c r="J34" s="3" t="s">
        <v>38</v>
      </c>
      <c r="K34" s="3" t="s">
        <v>39</v>
      </c>
      <c r="L34" s="2"/>
      <c r="M34" s="2"/>
    </row>
    <row r="35" spans="2:13" x14ac:dyDescent="0.3">
      <c r="B35" s="2"/>
      <c r="C35" s="2" t="s">
        <v>10</v>
      </c>
      <c r="D35" s="2"/>
      <c r="E35" s="2">
        <f>'Detailed Expenses'!F11</f>
        <v>27000</v>
      </c>
      <c r="F35" s="2">
        <f>'Detailed Expenses'!G11</f>
        <v>0</v>
      </c>
      <c r="G35" s="2">
        <f>'Detailed Expenses'!H11</f>
        <v>0</v>
      </c>
      <c r="H35" s="2">
        <f>'Detailed Expenses'!I11</f>
        <v>0</v>
      </c>
      <c r="I35" s="2">
        <f>'Detailed Expenses'!J11</f>
        <v>0</v>
      </c>
      <c r="J35" s="2">
        <f>'Detailed Expenses'!K11</f>
        <v>0</v>
      </c>
      <c r="K35" s="2">
        <f>'Detailed Expenses'!L11</f>
        <v>0</v>
      </c>
      <c r="L35" s="2"/>
      <c r="M35" s="2">
        <f t="shared" ref="M35:M40" si="3">SUM(E35:K35)</f>
        <v>27000</v>
      </c>
    </row>
    <row r="36" spans="2:13" x14ac:dyDescent="0.3">
      <c r="B36" s="2"/>
      <c r="C36" s="2" t="s">
        <v>11</v>
      </c>
      <c r="D36" s="2"/>
      <c r="E36" s="2">
        <f>'Detailed Expenses'!F18</f>
        <v>3500</v>
      </c>
      <c r="F36" s="2">
        <f>'Detailed Expenses'!G18</f>
        <v>0</v>
      </c>
      <c r="G36" s="2">
        <f>'Detailed Expenses'!H18</f>
        <v>0</v>
      </c>
      <c r="H36" s="2">
        <f>'Detailed Expenses'!I18</f>
        <v>0</v>
      </c>
      <c r="I36" s="2">
        <f>'Detailed Expenses'!J18</f>
        <v>0</v>
      </c>
      <c r="J36" s="2">
        <f>'Detailed Expenses'!K18</f>
        <v>0</v>
      </c>
      <c r="K36" s="2">
        <f>'Detailed Expenses'!L18</f>
        <v>0</v>
      </c>
      <c r="L36" s="2"/>
      <c r="M36" s="2">
        <f t="shared" si="3"/>
        <v>3500</v>
      </c>
    </row>
    <row r="37" spans="2:13" x14ac:dyDescent="0.3">
      <c r="B37" s="2"/>
      <c r="C37" s="2" t="s">
        <v>12</v>
      </c>
      <c r="D37" s="2"/>
      <c r="E37" s="2">
        <f>'Detailed Expenses'!F24</f>
        <v>0</v>
      </c>
      <c r="F37" s="2">
        <f>'Detailed Expenses'!G24</f>
        <v>0</v>
      </c>
      <c r="G37" s="2">
        <f>'Detailed Expenses'!H24</f>
        <v>0</v>
      </c>
      <c r="H37" s="2">
        <f>'Detailed Expenses'!I24</f>
        <v>0</v>
      </c>
      <c r="I37" s="2">
        <f>'Detailed Expenses'!J24</f>
        <v>0</v>
      </c>
      <c r="J37" s="2">
        <f>'Detailed Expenses'!K24</f>
        <v>0</v>
      </c>
      <c r="K37" s="2">
        <f>'Detailed Expenses'!L24</f>
        <v>0</v>
      </c>
      <c r="L37" s="2"/>
      <c r="M37" s="2">
        <f t="shared" si="3"/>
        <v>0</v>
      </c>
    </row>
    <row r="38" spans="2:13" x14ac:dyDescent="0.3">
      <c r="B38" s="2"/>
      <c r="C38" s="2" t="s">
        <v>13</v>
      </c>
      <c r="D38" s="2"/>
      <c r="E38" s="2">
        <f>'Detailed Expenses'!F28</f>
        <v>7800</v>
      </c>
      <c r="F38" s="2">
        <f>'Detailed Expenses'!G28</f>
        <v>0</v>
      </c>
      <c r="G38" s="2">
        <f>'Detailed Expenses'!H28</f>
        <v>0</v>
      </c>
      <c r="H38" s="2">
        <f>'Detailed Expenses'!I28</f>
        <v>0</v>
      </c>
      <c r="I38" s="2">
        <f>'Detailed Expenses'!J28</f>
        <v>0</v>
      </c>
      <c r="J38" s="2">
        <f>'Detailed Expenses'!K28</f>
        <v>0</v>
      </c>
      <c r="K38" s="2">
        <f>'Detailed Expenses'!L28</f>
        <v>0</v>
      </c>
      <c r="L38" s="2"/>
      <c r="M38" s="2">
        <f t="shared" si="3"/>
        <v>7800</v>
      </c>
    </row>
    <row r="39" spans="2:13" x14ac:dyDescent="0.3">
      <c r="B39" s="2"/>
      <c r="C39" s="2" t="s">
        <v>14</v>
      </c>
      <c r="D39" s="2"/>
      <c r="E39" s="2">
        <f>'Detailed Expenses'!F32</f>
        <v>1200</v>
      </c>
      <c r="F39" s="2">
        <f>'Detailed Expenses'!G32</f>
        <v>0</v>
      </c>
      <c r="G39" s="2">
        <f>'Detailed Expenses'!H32</f>
        <v>0</v>
      </c>
      <c r="H39" s="2">
        <f>'Detailed Expenses'!I32</f>
        <v>0</v>
      </c>
      <c r="I39" s="2">
        <f>'Detailed Expenses'!J32</f>
        <v>0</v>
      </c>
      <c r="J39" s="2">
        <f>'Detailed Expenses'!K32</f>
        <v>0</v>
      </c>
      <c r="K39" s="2">
        <f>'Detailed Expenses'!L32</f>
        <v>0</v>
      </c>
      <c r="L39" s="2"/>
      <c r="M39" s="2">
        <f t="shared" si="3"/>
        <v>1200</v>
      </c>
    </row>
    <row r="40" spans="2:13" x14ac:dyDescent="0.3">
      <c r="B40" s="2"/>
      <c r="C40" s="2" t="s">
        <v>15</v>
      </c>
      <c r="D40" s="2"/>
      <c r="E40" s="2">
        <f>'Detailed Expenses'!F36</f>
        <v>0</v>
      </c>
      <c r="F40" s="2">
        <f>'Detailed Expenses'!G36</f>
        <v>0</v>
      </c>
      <c r="G40" s="2">
        <f>'Detailed Expenses'!H36</f>
        <v>0</v>
      </c>
      <c r="H40" s="2">
        <f>'Detailed Expenses'!I36</f>
        <v>0</v>
      </c>
      <c r="I40" s="2">
        <f>'Detailed Expenses'!J36</f>
        <v>0</v>
      </c>
      <c r="J40" s="2">
        <f>'Detailed Expenses'!K36</f>
        <v>0</v>
      </c>
      <c r="K40" s="2">
        <f>'Detailed Expenses'!L36</f>
        <v>0</v>
      </c>
      <c r="L40" s="2"/>
      <c r="M40" s="2">
        <f t="shared" si="3"/>
        <v>0</v>
      </c>
    </row>
    <row r="41" spans="2:13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2:13" x14ac:dyDescent="0.3">
      <c r="B42" s="2" t="s">
        <v>73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2:13" x14ac:dyDescent="0.3">
      <c r="B43" s="2"/>
      <c r="C43" s="2" t="s">
        <v>16</v>
      </c>
      <c r="D43" s="2"/>
      <c r="E43" s="2">
        <f>'Detailed Expenses'!F42</f>
        <v>0</v>
      </c>
      <c r="F43" s="2">
        <f>'Detailed Expenses'!G42</f>
        <v>0</v>
      </c>
      <c r="G43" s="2">
        <f>'Detailed Expenses'!H42</f>
        <v>0</v>
      </c>
      <c r="H43" s="2">
        <f>'Detailed Expenses'!I42</f>
        <v>0</v>
      </c>
      <c r="I43" s="2">
        <f>'Detailed Expenses'!J42</f>
        <v>0</v>
      </c>
      <c r="J43" s="2">
        <f>'Detailed Expenses'!K42</f>
        <v>0</v>
      </c>
      <c r="K43" s="2">
        <f>'Detailed Expenses'!L42</f>
        <v>0</v>
      </c>
      <c r="L43" s="2"/>
      <c r="M43" s="2">
        <f t="shared" ref="M43:M47" si="4">SUM(E43:K43)</f>
        <v>0</v>
      </c>
    </row>
    <row r="44" spans="2:13" x14ac:dyDescent="0.3">
      <c r="B44" s="2"/>
      <c r="C44" s="2" t="s">
        <v>17</v>
      </c>
      <c r="D44" s="2"/>
      <c r="E44" s="2">
        <f>'Detailed Expenses'!F46</f>
        <v>5000</v>
      </c>
      <c r="F44" s="2">
        <f>'Detailed Expenses'!G46</f>
        <v>0</v>
      </c>
      <c r="G44" s="2">
        <f>'Detailed Expenses'!H46</f>
        <v>0</v>
      </c>
      <c r="H44" s="2">
        <f>'Detailed Expenses'!I46</f>
        <v>0</v>
      </c>
      <c r="I44" s="2">
        <f>'Detailed Expenses'!J46</f>
        <v>0</v>
      </c>
      <c r="J44" s="2">
        <f>'Detailed Expenses'!K46</f>
        <v>0</v>
      </c>
      <c r="K44" s="2">
        <f>'Detailed Expenses'!L46</f>
        <v>0</v>
      </c>
      <c r="L44" s="2"/>
      <c r="M44" s="2">
        <f t="shared" si="4"/>
        <v>5000</v>
      </c>
    </row>
    <row r="45" spans="2:13" x14ac:dyDescent="0.3">
      <c r="B45" s="2"/>
      <c r="C45" s="2" t="s">
        <v>18</v>
      </c>
      <c r="D45" s="2"/>
      <c r="E45" s="2">
        <f>'Detailed Expenses'!F54</f>
        <v>1900</v>
      </c>
      <c r="F45" s="2">
        <f>'Detailed Expenses'!G54</f>
        <v>0</v>
      </c>
      <c r="G45" s="2">
        <f>'Detailed Expenses'!H54</f>
        <v>0</v>
      </c>
      <c r="H45" s="2">
        <f>'Detailed Expenses'!I54</f>
        <v>0</v>
      </c>
      <c r="I45" s="2">
        <f>'Detailed Expenses'!J54</f>
        <v>0</v>
      </c>
      <c r="J45" s="2">
        <f>'Detailed Expenses'!K54</f>
        <v>0</v>
      </c>
      <c r="K45" s="2">
        <f>'Detailed Expenses'!L54</f>
        <v>0</v>
      </c>
      <c r="L45" s="2"/>
      <c r="M45" s="2">
        <f t="shared" si="4"/>
        <v>1900</v>
      </c>
    </row>
    <row r="46" spans="2:13" x14ac:dyDescent="0.3">
      <c r="B46" s="2"/>
      <c r="C46" s="2" t="s">
        <v>19</v>
      </c>
      <c r="D46" s="2"/>
      <c r="E46" s="2">
        <f>'Detailed Expenses'!F58</f>
        <v>22000</v>
      </c>
      <c r="F46" s="2">
        <f>'Detailed Expenses'!G58</f>
        <v>0</v>
      </c>
      <c r="G46" s="2">
        <f>'Detailed Expenses'!H58</f>
        <v>0</v>
      </c>
      <c r="H46" s="2">
        <f>'Detailed Expenses'!I58</f>
        <v>0</v>
      </c>
      <c r="I46" s="2">
        <f>'Detailed Expenses'!J58</f>
        <v>0</v>
      </c>
      <c r="J46" s="2">
        <f>'Detailed Expenses'!K58</f>
        <v>0</v>
      </c>
      <c r="K46" s="2">
        <f>'Detailed Expenses'!L58</f>
        <v>0</v>
      </c>
      <c r="L46" s="2"/>
      <c r="M46" s="2">
        <f t="shared" si="4"/>
        <v>22000</v>
      </c>
    </row>
    <row r="47" spans="2:13" x14ac:dyDescent="0.3">
      <c r="B47" s="2"/>
      <c r="C47" s="2" t="s">
        <v>20</v>
      </c>
      <c r="D47" s="2"/>
      <c r="E47" s="2">
        <f>'Detailed Expenses'!F62</f>
        <v>0</v>
      </c>
      <c r="F47" s="2">
        <f>'Detailed Expenses'!G62</f>
        <v>0</v>
      </c>
      <c r="G47" s="2">
        <f>'Detailed Expenses'!H62</f>
        <v>0</v>
      </c>
      <c r="H47" s="2">
        <f>'Detailed Expenses'!I62</f>
        <v>0</v>
      </c>
      <c r="I47" s="2">
        <f>'Detailed Expenses'!J62</f>
        <v>0</v>
      </c>
      <c r="J47" s="2">
        <f>'Detailed Expenses'!K62</f>
        <v>0</v>
      </c>
      <c r="K47" s="2">
        <f>'Detailed Expenses'!L62</f>
        <v>0</v>
      </c>
      <c r="L47" s="2"/>
      <c r="M47" s="2">
        <f t="shared" si="4"/>
        <v>0</v>
      </c>
    </row>
    <row r="48" spans="2:13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</sheetData>
  <mergeCells count="1">
    <mergeCell ref="B32:C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3BB8-65B8-43F3-B60B-67319131C460}">
  <dimension ref="B3:N79"/>
  <sheetViews>
    <sheetView topLeftCell="A35" workbookViewId="0">
      <selection activeCell="F73" sqref="F73"/>
    </sheetView>
  </sheetViews>
  <sheetFormatPr defaultRowHeight="14.4" x14ac:dyDescent="0.3"/>
  <cols>
    <col min="2" max="2" width="26.5546875" bestFit="1" customWidth="1"/>
    <col min="3" max="3" width="38.109375" customWidth="1"/>
    <col min="4" max="5" width="14.21875" customWidth="1"/>
    <col min="13" max="13" width="13.33203125" style="131" customWidth="1"/>
  </cols>
  <sheetData>
    <row r="3" spans="2:14" x14ac:dyDescent="0.3">
      <c r="F3" s="70">
        <v>2026</v>
      </c>
      <c r="G3" s="70"/>
      <c r="H3" s="70"/>
      <c r="I3" s="70"/>
      <c r="J3" s="70"/>
      <c r="K3" s="70"/>
      <c r="L3" s="70"/>
    </row>
    <row r="4" spans="2:14" ht="28.8" x14ac:dyDescent="0.3">
      <c r="B4" s="89"/>
      <c r="C4" s="90"/>
      <c r="D4" s="90"/>
      <c r="E4" s="93"/>
      <c r="F4" s="71" t="s">
        <v>33</v>
      </c>
      <c r="G4" s="71" t="s">
        <v>34</v>
      </c>
      <c r="H4" s="71" t="s">
        <v>35</v>
      </c>
      <c r="I4" s="71" t="s">
        <v>36</v>
      </c>
      <c r="J4" s="71" t="s">
        <v>37</v>
      </c>
      <c r="K4" s="71" t="s">
        <v>38</v>
      </c>
      <c r="L4" s="71" t="s">
        <v>39</v>
      </c>
      <c r="M4" s="132" t="s">
        <v>83</v>
      </c>
    </row>
    <row r="5" spans="2:14" ht="15.6" x14ac:dyDescent="0.3">
      <c r="B5" s="64" t="s">
        <v>9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6"/>
    </row>
    <row r="6" spans="2:14" ht="15" thickBot="1" x14ac:dyDescent="0.35">
      <c r="B6" s="72" t="s">
        <v>2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4"/>
    </row>
    <row r="7" spans="2:14" x14ac:dyDescent="0.3">
      <c r="B7" s="99" t="s">
        <v>10</v>
      </c>
      <c r="C7" s="96"/>
      <c r="D7" s="100"/>
      <c r="E7" s="112" t="s">
        <v>80</v>
      </c>
      <c r="F7" s="102">
        <f>'Actual 2026'!C15</f>
        <v>28200</v>
      </c>
      <c r="G7" s="97">
        <f>'Actual 2026'!D15</f>
        <v>0</v>
      </c>
      <c r="H7" s="97">
        <f>'Actual 2026'!E15</f>
        <v>0</v>
      </c>
      <c r="I7" s="97">
        <f>'Actual 2026'!F15</f>
        <v>0</v>
      </c>
      <c r="J7" s="97">
        <f>'Actual 2026'!G15</f>
        <v>0</v>
      </c>
      <c r="K7" s="97">
        <f>'Actual 2026'!H15</f>
        <v>0</v>
      </c>
      <c r="L7" s="97">
        <f>'Actual 2026'!I15</f>
        <v>0</v>
      </c>
      <c r="M7" s="133"/>
    </row>
    <row r="8" spans="2:14" x14ac:dyDescent="0.3">
      <c r="B8" s="75"/>
      <c r="C8" s="1" t="s">
        <v>46</v>
      </c>
      <c r="D8" s="113"/>
      <c r="E8" s="111" t="s">
        <v>29</v>
      </c>
      <c r="F8" s="103">
        <f>27000-F10</f>
        <v>22500</v>
      </c>
      <c r="G8" s="91"/>
      <c r="H8" s="91"/>
      <c r="I8" s="91"/>
      <c r="J8" s="91"/>
      <c r="K8" s="91"/>
      <c r="L8" s="91"/>
      <c r="M8" s="134"/>
    </row>
    <row r="9" spans="2:14" x14ac:dyDescent="0.3">
      <c r="B9" s="75"/>
      <c r="C9" s="1" t="s">
        <v>81</v>
      </c>
      <c r="D9" s="113"/>
      <c r="E9" s="111"/>
      <c r="F9" s="103"/>
      <c r="G9" s="91"/>
      <c r="H9" s="91"/>
      <c r="I9" s="91"/>
      <c r="J9" s="91"/>
      <c r="K9" s="91"/>
      <c r="L9" s="91"/>
      <c r="M9" s="134"/>
    </row>
    <row r="10" spans="2:14" ht="15" thickBot="1" x14ac:dyDescent="0.35">
      <c r="B10" s="76"/>
      <c r="C10" s="77" t="s">
        <v>47</v>
      </c>
      <c r="D10" s="113"/>
      <c r="E10" s="111"/>
      <c r="F10" s="104">
        <v>4500</v>
      </c>
      <c r="G10" s="92"/>
      <c r="H10" s="92"/>
      <c r="I10" s="92"/>
      <c r="J10" s="92"/>
      <c r="K10" s="92"/>
      <c r="L10" s="92"/>
      <c r="M10" s="134"/>
    </row>
    <row r="11" spans="2:14" ht="15" thickBot="1" x14ac:dyDescent="0.35">
      <c r="B11" s="87"/>
      <c r="C11" s="107" t="s">
        <v>42</v>
      </c>
      <c r="D11" s="113"/>
      <c r="E11" s="111"/>
      <c r="F11" s="122">
        <f>SUM(F8:F10)</f>
        <v>27000</v>
      </c>
      <c r="G11" s="123">
        <f t="shared" ref="G11:L11" si="0">SUM(G8:G10)</f>
        <v>0</v>
      </c>
      <c r="H11" s="123">
        <f t="shared" si="0"/>
        <v>0</v>
      </c>
      <c r="I11" s="123">
        <f t="shared" si="0"/>
        <v>0</v>
      </c>
      <c r="J11" s="123">
        <f t="shared" si="0"/>
        <v>0</v>
      </c>
      <c r="K11" s="123">
        <f t="shared" si="0"/>
        <v>0</v>
      </c>
      <c r="L11" s="123">
        <f t="shared" si="0"/>
        <v>0</v>
      </c>
      <c r="M11" s="135">
        <f>SUM(F7:L7)-SUM(F11:L11)</f>
        <v>1200</v>
      </c>
      <c r="N11" s="29"/>
    </row>
    <row r="12" spans="2:14" x14ac:dyDescent="0.3">
      <c r="B12" s="99" t="s">
        <v>11</v>
      </c>
      <c r="C12" s="94"/>
      <c r="D12" s="106"/>
      <c r="E12" s="112" t="s">
        <v>80</v>
      </c>
      <c r="F12" s="102">
        <f>'Actual 2026'!C16</f>
        <v>14100</v>
      </c>
      <c r="G12" s="97">
        <f>'Actual 2026'!D16</f>
        <v>0</v>
      </c>
      <c r="H12" s="97">
        <f>'Actual 2026'!E16</f>
        <v>0</v>
      </c>
      <c r="I12" s="97">
        <f>'Actual 2026'!F16</f>
        <v>0</v>
      </c>
      <c r="J12" s="97">
        <f>'Actual 2026'!G16</f>
        <v>0</v>
      </c>
      <c r="K12" s="97">
        <f>'Actual 2026'!H16</f>
        <v>0</v>
      </c>
      <c r="L12" s="97">
        <f>'Actual 2026'!I16</f>
        <v>0</v>
      </c>
      <c r="M12" s="133"/>
    </row>
    <row r="13" spans="2:14" x14ac:dyDescent="0.3">
      <c r="B13" s="75"/>
      <c r="C13" s="1" t="s">
        <v>48</v>
      </c>
      <c r="D13" s="113"/>
      <c r="E13" s="111" t="s">
        <v>29</v>
      </c>
      <c r="F13" s="103">
        <v>2000</v>
      </c>
      <c r="G13" s="91"/>
      <c r="H13" s="91"/>
      <c r="I13" s="91"/>
      <c r="J13" s="91"/>
      <c r="K13" s="91"/>
      <c r="L13" s="91"/>
      <c r="M13" s="134"/>
    </row>
    <row r="14" spans="2:14" x14ac:dyDescent="0.3">
      <c r="B14" s="75"/>
      <c r="C14" s="1" t="s">
        <v>49</v>
      </c>
      <c r="D14" s="113"/>
      <c r="E14" s="111"/>
      <c r="F14" s="103">
        <v>500</v>
      </c>
      <c r="G14" s="91"/>
      <c r="H14" s="91"/>
      <c r="I14" s="91"/>
      <c r="J14" s="91"/>
      <c r="K14" s="91"/>
      <c r="L14" s="91"/>
      <c r="M14" s="134"/>
    </row>
    <row r="15" spans="2:14" x14ac:dyDescent="0.3">
      <c r="B15" s="75"/>
      <c r="C15" s="1" t="s">
        <v>50</v>
      </c>
      <c r="D15" s="113"/>
      <c r="E15" s="111"/>
      <c r="F15" s="103">
        <v>1000</v>
      </c>
      <c r="G15" s="91"/>
      <c r="H15" s="91"/>
      <c r="I15" s="91"/>
      <c r="J15" s="91"/>
      <c r="K15" s="91"/>
      <c r="L15" s="91"/>
      <c r="M15" s="134"/>
    </row>
    <row r="16" spans="2:14" x14ac:dyDescent="0.3">
      <c r="B16" s="75"/>
      <c r="C16" s="1" t="s">
        <v>51</v>
      </c>
      <c r="D16" s="113"/>
      <c r="E16" s="111"/>
      <c r="F16" s="103"/>
      <c r="G16" s="91"/>
      <c r="H16" s="91"/>
      <c r="I16" s="91"/>
      <c r="J16" s="91"/>
      <c r="K16" s="91"/>
      <c r="L16" s="91"/>
      <c r="M16" s="134"/>
    </row>
    <row r="17" spans="2:14" ht="15" thickBot="1" x14ac:dyDescent="0.35">
      <c r="B17" s="76"/>
      <c r="C17" s="77" t="s">
        <v>78</v>
      </c>
      <c r="D17" s="113"/>
      <c r="E17" s="111"/>
      <c r="F17" s="104"/>
      <c r="G17" s="92"/>
      <c r="H17" s="92"/>
      <c r="I17" s="92"/>
      <c r="J17" s="92"/>
      <c r="K17" s="92"/>
      <c r="L17" s="92"/>
      <c r="M17" s="136"/>
    </row>
    <row r="18" spans="2:14" ht="15" thickBot="1" x14ac:dyDescent="0.35">
      <c r="B18" s="87"/>
      <c r="C18" s="107" t="s">
        <v>42</v>
      </c>
      <c r="D18" s="113"/>
      <c r="E18" s="111"/>
      <c r="F18" s="122">
        <f>SUM(F13:F17)</f>
        <v>3500</v>
      </c>
      <c r="G18" s="122">
        <f t="shared" ref="G18:L18" si="1">SUM(G13:G17)</f>
        <v>0</v>
      </c>
      <c r="H18" s="122">
        <f t="shared" si="1"/>
        <v>0</v>
      </c>
      <c r="I18" s="122">
        <f t="shared" si="1"/>
        <v>0</v>
      </c>
      <c r="J18" s="122">
        <f t="shared" si="1"/>
        <v>0</v>
      </c>
      <c r="K18" s="122">
        <f t="shared" si="1"/>
        <v>0</v>
      </c>
      <c r="L18" s="122">
        <f t="shared" si="1"/>
        <v>0</v>
      </c>
      <c r="M18" s="137">
        <f>SUM(F12:L12)-SUM(F18:L18)</f>
        <v>10600</v>
      </c>
    </row>
    <row r="19" spans="2:14" x14ac:dyDescent="0.3">
      <c r="B19" s="99" t="s">
        <v>12</v>
      </c>
      <c r="C19" s="94"/>
      <c r="D19" s="106"/>
      <c r="E19" s="112" t="s">
        <v>80</v>
      </c>
      <c r="F19" s="102">
        <f>'Actual 2026'!C17</f>
        <v>7050</v>
      </c>
      <c r="G19" s="97">
        <f>'Actual 2026'!D17</f>
        <v>0</v>
      </c>
      <c r="H19" s="97">
        <f>'Actual 2026'!E17</f>
        <v>0</v>
      </c>
      <c r="I19" s="97">
        <f>'Actual 2026'!F17</f>
        <v>0</v>
      </c>
      <c r="J19" s="97">
        <f>'Actual 2026'!G17</f>
        <v>0</v>
      </c>
      <c r="K19" s="97">
        <f>'Actual 2026'!H17</f>
        <v>0</v>
      </c>
      <c r="L19" s="97">
        <f>'Actual 2026'!I17</f>
        <v>0</v>
      </c>
      <c r="M19" s="133"/>
    </row>
    <row r="20" spans="2:14" x14ac:dyDescent="0.3">
      <c r="B20" s="75"/>
      <c r="C20" s="1" t="s">
        <v>52</v>
      </c>
      <c r="D20" s="113"/>
      <c r="E20" s="111" t="s">
        <v>29</v>
      </c>
      <c r="F20" s="103"/>
      <c r="G20" s="91"/>
      <c r="H20" s="91"/>
      <c r="I20" s="91"/>
      <c r="J20" s="91"/>
      <c r="K20" s="91"/>
      <c r="L20" s="91"/>
      <c r="M20" s="134"/>
    </row>
    <row r="21" spans="2:14" x14ac:dyDescent="0.3">
      <c r="B21" s="75"/>
      <c r="C21" s="1" t="s">
        <v>53</v>
      </c>
      <c r="D21" s="113"/>
      <c r="E21" s="111"/>
      <c r="F21" s="103"/>
      <c r="G21" s="91"/>
      <c r="H21" s="91"/>
      <c r="I21" s="91"/>
      <c r="J21" s="91"/>
      <c r="K21" s="91"/>
      <c r="L21" s="91"/>
      <c r="M21" s="134"/>
    </row>
    <row r="22" spans="2:14" x14ac:dyDescent="0.3">
      <c r="B22" s="75"/>
      <c r="C22" s="1" t="s">
        <v>54</v>
      </c>
      <c r="D22" s="113"/>
      <c r="E22" s="111"/>
      <c r="F22" s="103"/>
      <c r="G22" s="91"/>
      <c r="H22" s="91"/>
      <c r="I22" s="91"/>
      <c r="J22" s="91"/>
      <c r="K22" s="91"/>
      <c r="L22" s="91"/>
      <c r="M22" s="134"/>
    </row>
    <row r="23" spans="2:14" ht="15" thickBot="1" x14ac:dyDescent="0.35">
      <c r="B23" s="75"/>
      <c r="C23" s="1" t="s">
        <v>55</v>
      </c>
      <c r="D23" s="113"/>
      <c r="E23" s="111"/>
      <c r="F23" s="103"/>
      <c r="G23" s="91"/>
      <c r="H23" s="91"/>
      <c r="I23" s="91"/>
      <c r="J23" s="91"/>
      <c r="K23" s="91"/>
      <c r="L23" s="91"/>
      <c r="M23" s="134"/>
    </row>
    <row r="24" spans="2:14" ht="15" thickBot="1" x14ac:dyDescent="0.35">
      <c r="B24" s="87"/>
      <c r="C24" s="107" t="s">
        <v>42</v>
      </c>
      <c r="D24" s="113"/>
      <c r="E24" s="111"/>
      <c r="F24" s="122">
        <f>SUM(F20:F23)</f>
        <v>0</v>
      </c>
      <c r="G24" s="122">
        <f t="shared" ref="G24:L24" si="2">SUM(G20:G23)</f>
        <v>0</v>
      </c>
      <c r="H24" s="122">
        <f t="shared" si="2"/>
        <v>0</v>
      </c>
      <c r="I24" s="122">
        <f t="shared" si="2"/>
        <v>0</v>
      </c>
      <c r="J24" s="122">
        <f t="shared" si="2"/>
        <v>0</v>
      </c>
      <c r="K24" s="122">
        <f t="shared" si="2"/>
        <v>0</v>
      </c>
      <c r="L24" s="122">
        <f t="shared" si="2"/>
        <v>0</v>
      </c>
      <c r="M24" s="137">
        <f>SUM(F19:L19)-SUM(F24:L24)</f>
        <v>7050</v>
      </c>
      <c r="N24" s="29"/>
    </row>
    <row r="25" spans="2:14" x14ac:dyDescent="0.3">
      <c r="B25" s="99" t="s">
        <v>13</v>
      </c>
      <c r="C25" s="94"/>
      <c r="D25" s="106"/>
      <c r="E25" s="112" t="s">
        <v>80</v>
      </c>
      <c r="F25" s="102">
        <f>'Actual 2026'!C18</f>
        <v>3525</v>
      </c>
      <c r="G25" s="97">
        <f>'Actual 2026'!D18</f>
        <v>0</v>
      </c>
      <c r="H25" s="97">
        <f>'Actual 2026'!E18</f>
        <v>0</v>
      </c>
      <c r="I25" s="97">
        <f>'Actual 2026'!F18</f>
        <v>0</v>
      </c>
      <c r="J25" s="97">
        <f>'Actual 2026'!G18</f>
        <v>0</v>
      </c>
      <c r="K25" s="97">
        <f>'Actual 2026'!H18</f>
        <v>0</v>
      </c>
      <c r="L25" s="97">
        <f>'Actual 2026'!I18</f>
        <v>0</v>
      </c>
      <c r="M25" s="133"/>
    </row>
    <row r="26" spans="2:14" x14ac:dyDescent="0.3">
      <c r="B26" s="75"/>
      <c r="C26" s="1" t="s">
        <v>56</v>
      </c>
      <c r="D26" s="113"/>
      <c r="E26" s="111" t="s">
        <v>29</v>
      </c>
      <c r="F26" s="103">
        <v>6800</v>
      </c>
      <c r="G26" s="91"/>
      <c r="H26" s="91"/>
      <c r="I26" s="91"/>
      <c r="J26" s="91"/>
      <c r="K26" s="91"/>
      <c r="L26" s="91"/>
      <c r="M26" s="134"/>
    </row>
    <row r="27" spans="2:14" ht="15" thickBot="1" x14ac:dyDescent="0.35">
      <c r="B27" s="75"/>
      <c r="C27" s="1" t="s">
        <v>57</v>
      </c>
      <c r="D27" s="113"/>
      <c r="E27" s="111"/>
      <c r="F27" s="103">
        <v>1000</v>
      </c>
      <c r="G27" s="91"/>
      <c r="H27" s="91"/>
      <c r="I27" s="91"/>
      <c r="J27" s="91"/>
      <c r="K27" s="91"/>
      <c r="L27" s="91"/>
      <c r="M27" s="134"/>
    </row>
    <row r="28" spans="2:14" ht="15" thickBot="1" x14ac:dyDescent="0.35">
      <c r="B28" s="87"/>
      <c r="C28" s="107" t="s">
        <v>42</v>
      </c>
      <c r="D28" s="113"/>
      <c r="E28" s="111"/>
      <c r="F28" s="122">
        <f>SUM(F26:F27)</f>
        <v>7800</v>
      </c>
      <c r="G28" s="122">
        <f t="shared" ref="G28:L28" si="3">SUM(G26:G27)</f>
        <v>0</v>
      </c>
      <c r="H28" s="122">
        <f t="shared" si="3"/>
        <v>0</v>
      </c>
      <c r="I28" s="122">
        <f t="shared" si="3"/>
        <v>0</v>
      </c>
      <c r="J28" s="122">
        <f t="shared" si="3"/>
        <v>0</v>
      </c>
      <c r="K28" s="122">
        <f t="shared" si="3"/>
        <v>0</v>
      </c>
      <c r="L28" s="122">
        <f t="shared" si="3"/>
        <v>0</v>
      </c>
      <c r="M28" s="137">
        <f>SUM(F25:L25)-SUM(F28:L28)</f>
        <v>-4275</v>
      </c>
      <c r="N28" s="29"/>
    </row>
    <row r="29" spans="2:14" x14ac:dyDescent="0.3">
      <c r="B29" s="99" t="s">
        <v>14</v>
      </c>
      <c r="C29" s="94"/>
      <c r="D29" s="106"/>
      <c r="E29" s="112" t="s">
        <v>80</v>
      </c>
      <c r="F29" s="102">
        <f>'Actual 2026'!C19</f>
        <v>5640</v>
      </c>
      <c r="G29" s="97">
        <f>'Actual 2026'!D19</f>
        <v>0</v>
      </c>
      <c r="H29" s="97">
        <f>'Actual 2026'!E19</f>
        <v>0</v>
      </c>
      <c r="I29" s="97">
        <f>'Actual 2026'!F19</f>
        <v>0</v>
      </c>
      <c r="J29" s="97">
        <f>'Actual 2026'!G19</f>
        <v>0</v>
      </c>
      <c r="K29" s="97">
        <f>'Actual 2026'!H19</f>
        <v>0</v>
      </c>
      <c r="L29" s="97">
        <f>'Actual 2026'!I19</f>
        <v>0</v>
      </c>
      <c r="M29" s="133"/>
    </row>
    <row r="30" spans="2:14" x14ac:dyDescent="0.3">
      <c r="B30" s="75"/>
      <c r="C30" s="1" t="s">
        <v>58</v>
      </c>
      <c r="D30" s="113"/>
      <c r="E30" s="111" t="s">
        <v>29</v>
      </c>
      <c r="F30" s="103"/>
      <c r="G30" s="91"/>
      <c r="H30" s="91"/>
      <c r="I30" s="91"/>
      <c r="J30" s="91"/>
      <c r="K30" s="91"/>
      <c r="L30" s="91"/>
      <c r="M30" s="134"/>
    </row>
    <row r="31" spans="2:14" ht="15" thickBot="1" x14ac:dyDescent="0.35">
      <c r="B31" s="75"/>
      <c r="C31" s="1" t="s">
        <v>59</v>
      </c>
      <c r="D31" s="113"/>
      <c r="E31" s="111"/>
      <c r="F31" s="103">
        <v>1200</v>
      </c>
      <c r="G31" s="91"/>
      <c r="H31" s="91"/>
      <c r="I31" s="91"/>
      <c r="J31" s="91"/>
      <c r="K31" s="91"/>
      <c r="L31" s="91"/>
      <c r="M31" s="134"/>
    </row>
    <row r="32" spans="2:14" ht="15" thickBot="1" x14ac:dyDescent="0.35">
      <c r="B32" s="87"/>
      <c r="C32" s="107" t="s">
        <v>42</v>
      </c>
      <c r="D32" s="113"/>
      <c r="E32" s="111"/>
      <c r="F32" s="122">
        <f>SUM(F30:F31)</f>
        <v>1200</v>
      </c>
      <c r="G32" s="122">
        <f t="shared" ref="G32:L32" si="4">SUM(G30:G31)</f>
        <v>0</v>
      </c>
      <c r="H32" s="122">
        <f t="shared" si="4"/>
        <v>0</v>
      </c>
      <c r="I32" s="122">
        <f t="shared" si="4"/>
        <v>0</v>
      </c>
      <c r="J32" s="122">
        <f t="shared" si="4"/>
        <v>0</v>
      </c>
      <c r="K32" s="122">
        <f t="shared" si="4"/>
        <v>0</v>
      </c>
      <c r="L32" s="122">
        <f t="shared" si="4"/>
        <v>0</v>
      </c>
      <c r="M32" s="137">
        <f>SUM(F29:L29)-SUM(F32:L32)</f>
        <v>4440</v>
      </c>
      <c r="N32" s="29"/>
    </row>
    <row r="33" spans="2:14" x14ac:dyDescent="0.3">
      <c r="B33" s="99" t="s">
        <v>15</v>
      </c>
      <c r="C33" s="94"/>
      <c r="D33" s="106"/>
      <c r="E33" s="112" t="s">
        <v>80</v>
      </c>
      <c r="F33" s="105">
        <f>'Actual 2026'!C20</f>
        <v>11985</v>
      </c>
      <c r="G33" s="98">
        <f>'Actual 2026'!D20</f>
        <v>0</v>
      </c>
      <c r="H33" s="98">
        <f>'Actual 2026'!E20</f>
        <v>0</v>
      </c>
      <c r="I33" s="98">
        <f>'Actual 2026'!F20</f>
        <v>0</v>
      </c>
      <c r="J33" s="98">
        <f>'Actual 2026'!G20</f>
        <v>0</v>
      </c>
      <c r="K33" s="98">
        <f>'Actual 2026'!H20</f>
        <v>0</v>
      </c>
      <c r="L33" s="98">
        <f>'Actual 2026'!I20</f>
        <v>0</v>
      </c>
      <c r="M33" s="138"/>
    </row>
    <row r="34" spans="2:14" x14ac:dyDescent="0.3">
      <c r="B34" s="75"/>
      <c r="C34" s="1"/>
      <c r="D34" s="113"/>
      <c r="E34" s="111" t="s">
        <v>29</v>
      </c>
      <c r="F34" s="103"/>
      <c r="G34" s="91"/>
      <c r="H34" s="91"/>
      <c r="I34" s="91"/>
      <c r="J34" s="91"/>
      <c r="K34" s="91"/>
      <c r="L34" s="91"/>
      <c r="M34" s="134"/>
    </row>
    <row r="35" spans="2:14" ht="15" thickBot="1" x14ac:dyDescent="0.35">
      <c r="B35" s="75"/>
      <c r="C35" s="1"/>
      <c r="D35" s="113"/>
      <c r="E35" s="111"/>
      <c r="F35" s="103"/>
      <c r="G35" s="91"/>
      <c r="H35" s="91"/>
      <c r="I35" s="91"/>
      <c r="J35" s="91"/>
      <c r="K35" s="91"/>
      <c r="L35" s="91"/>
      <c r="M35" s="134"/>
    </row>
    <row r="36" spans="2:14" ht="15" thickBot="1" x14ac:dyDescent="0.35">
      <c r="B36" s="87"/>
      <c r="C36" s="107" t="s">
        <v>42</v>
      </c>
      <c r="D36" s="121"/>
      <c r="E36" s="114"/>
      <c r="F36" s="122">
        <f>SUM(F34:F35)</f>
        <v>0</v>
      </c>
      <c r="G36" s="122">
        <f t="shared" ref="G36:L36" si="5">SUM(G34:G35)</f>
        <v>0</v>
      </c>
      <c r="H36" s="122">
        <f t="shared" si="5"/>
        <v>0</v>
      </c>
      <c r="I36" s="122">
        <f t="shared" si="5"/>
        <v>0</v>
      </c>
      <c r="J36" s="122">
        <f t="shared" si="5"/>
        <v>0</v>
      </c>
      <c r="K36" s="122">
        <f t="shared" si="5"/>
        <v>0</v>
      </c>
      <c r="L36" s="122">
        <f t="shared" si="5"/>
        <v>0</v>
      </c>
      <c r="M36" s="137">
        <f>SUM(F33:L33)-SUM(F36:L36)</f>
        <v>11985</v>
      </c>
      <c r="N36" s="29"/>
    </row>
    <row r="37" spans="2:14" ht="15.6" x14ac:dyDescent="0.3">
      <c r="B37" s="67" t="s">
        <v>27</v>
      </c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9"/>
    </row>
    <row r="38" spans="2:14" ht="15" thickBot="1" x14ac:dyDescent="0.35">
      <c r="B38" s="72" t="s">
        <v>2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4"/>
    </row>
    <row r="39" spans="2:14" x14ac:dyDescent="0.3">
      <c r="B39" s="99" t="s">
        <v>16</v>
      </c>
      <c r="C39" s="94"/>
      <c r="D39" s="101"/>
      <c r="E39" s="112" t="s">
        <v>80</v>
      </c>
      <c r="F39" s="102">
        <f>'Actual 2026'!C24</f>
        <v>8460</v>
      </c>
      <c r="G39" s="97">
        <f>'Actual 2026'!D24</f>
        <v>0</v>
      </c>
      <c r="H39" s="97">
        <f>'Actual 2026'!E24</f>
        <v>0</v>
      </c>
      <c r="I39" s="97">
        <f>'Actual 2026'!F24</f>
        <v>0</v>
      </c>
      <c r="J39" s="97">
        <f>'Actual 2026'!G24</f>
        <v>0</v>
      </c>
      <c r="K39" s="97">
        <f>'Actual 2026'!H24</f>
        <v>0</v>
      </c>
      <c r="L39" s="97">
        <f>'Actual 2026'!I24</f>
        <v>0</v>
      </c>
      <c r="M39" s="133"/>
    </row>
    <row r="40" spans="2:14" x14ac:dyDescent="0.3">
      <c r="B40" s="79"/>
      <c r="C40" s="78" t="s">
        <v>79</v>
      </c>
      <c r="D40" s="115"/>
      <c r="E40" s="115"/>
      <c r="F40" s="103"/>
      <c r="G40" s="91"/>
      <c r="H40" s="91"/>
      <c r="I40" s="91"/>
      <c r="J40" s="91"/>
      <c r="K40" s="91"/>
      <c r="L40" s="91"/>
      <c r="M40" s="134"/>
    </row>
    <row r="41" spans="2:14" ht="15" thickBot="1" x14ac:dyDescent="0.35">
      <c r="B41" s="80"/>
      <c r="C41" s="81" t="s">
        <v>60</v>
      </c>
      <c r="D41" s="115"/>
      <c r="E41" s="115"/>
      <c r="F41" s="104"/>
      <c r="G41" s="92"/>
      <c r="H41" s="92"/>
      <c r="I41" s="92"/>
      <c r="J41" s="92"/>
      <c r="K41" s="92"/>
      <c r="L41" s="92"/>
      <c r="M41" s="136"/>
    </row>
    <row r="42" spans="2:14" ht="15" thickBot="1" x14ac:dyDescent="0.35">
      <c r="B42" s="88"/>
      <c r="C42" s="108" t="s">
        <v>42</v>
      </c>
      <c r="D42" s="116"/>
      <c r="E42" s="116"/>
      <c r="F42" s="122">
        <f>SUM(F40:F41)</f>
        <v>0</v>
      </c>
      <c r="G42" s="122">
        <f t="shared" ref="G42:L42" si="6">SUM(G40:G41)</f>
        <v>0</v>
      </c>
      <c r="H42" s="122">
        <f t="shared" si="6"/>
        <v>0</v>
      </c>
      <c r="I42" s="122">
        <f t="shared" si="6"/>
        <v>0</v>
      </c>
      <c r="J42" s="122">
        <f t="shared" si="6"/>
        <v>0</v>
      </c>
      <c r="K42" s="122">
        <f t="shared" si="6"/>
        <v>0</v>
      </c>
      <c r="L42" s="122">
        <f t="shared" si="6"/>
        <v>0</v>
      </c>
      <c r="M42" s="137">
        <f>SUM(F39:L39)-SUM(F42:L42)</f>
        <v>8460</v>
      </c>
      <c r="N42" s="29"/>
    </row>
    <row r="43" spans="2:14" x14ac:dyDescent="0.3">
      <c r="B43" s="99" t="s">
        <v>17</v>
      </c>
      <c r="C43" s="94"/>
      <c r="D43" s="106"/>
      <c r="E43" s="112" t="s">
        <v>80</v>
      </c>
      <c r="F43" s="102">
        <f>'Actual 2026'!C25</f>
        <v>4230</v>
      </c>
      <c r="G43" s="97">
        <f>'Actual 2026'!D25</f>
        <v>0</v>
      </c>
      <c r="H43" s="97">
        <f>'Actual 2026'!E25</f>
        <v>0</v>
      </c>
      <c r="I43" s="97">
        <f>'Actual 2026'!F25</f>
        <v>0</v>
      </c>
      <c r="J43" s="97">
        <f>'Actual 2026'!G25</f>
        <v>0</v>
      </c>
      <c r="K43" s="97">
        <f>'Actual 2026'!H25</f>
        <v>0</v>
      </c>
      <c r="L43" s="97">
        <f>'Actual 2026'!I25</f>
        <v>0</v>
      </c>
      <c r="M43" s="133"/>
    </row>
    <row r="44" spans="2:14" x14ac:dyDescent="0.3">
      <c r="B44" s="79"/>
      <c r="C44" s="78" t="s">
        <v>61</v>
      </c>
      <c r="D44" s="115"/>
      <c r="E44" s="115"/>
      <c r="F44" s="103"/>
      <c r="G44" s="91"/>
      <c r="H44" s="91"/>
      <c r="I44" s="91"/>
      <c r="J44" s="91"/>
      <c r="K44" s="91"/>
      <c r="L44" s="91"/>
      <c r="M44" s="134"/>
    </row>
    <row r="45" spans="2:14" ht="15" thickBot="1" x14ac:dyDescent="0.35">
      <c r="B45" s="79"/>
      <c r="C45" s="78" t="s">
        <v>62</v>
      </c>
      <c r="D45" s="115"/>
      <c r="E45" s="115"/>
      <c r="F45" s="103">
        <v>5000</v>
      </c>
      <c r="G45" s="91"/>
      <c r="H45" s="91"/>
      <c r="I45" s="91"/>
      <c r="J45" s="91"/>
      <c r="K45" s="91"/>
      <c r="L45" s="91"/>
      <c r="M45" s="134"/>
    </row>
    <row r="46" spans="2:14" ht="15" thickBot="1" x14ac:dyDescent="0.35">
      <c r="B46" s="88"/>
      <c r="C46" s="108" t="s">
        <v>42</v>
      </c>
      <c r="D46" s="116"/>
      <c r="E46" s="116"/>
      <c r="F46" s="122">
        <f>SUM(F44:F45)</f>
        <v>5000</v>
      </c>
      <c r="G46" s="122">
        <f t="shared" ref="G46:L46" si="7">SUM(G44:G45)</f>
        <v>0</v>
      </c>
      <c r="H46" s="122">
        <f t="shared" si="7"/>
        <v>0</v>
      </c>
      <c r="I46" s="122">
        <f t="shared" si="7"/>
        <v>0</v>
      </c>
      <c r="J46" s="122">
        <f t="shared" si="7"/>
        <v>0</v>
      </c>
      <c r="K46" s="122">
        <f t="shared" si="7"/>
        <v>0</v>
      </c>
      <c r="L46" s="122">
        <f t="shared" si="7"/>
        <v>0</v>
      </c>
      <c r="M46" s="137">
        <f>SUM(F43:L43)-SUM(F46:L46)</f>
        <v>-770</v>
      </c>
      <c r="N46" s="29"/>
    </row>
    <row r="47" spans="2:14" x14ac:dyDescent="0.3">
      <c r="B47" s="99" t="s">
        <v>18</v>
      </c>
      <c r="C47" s="94"/>
      <c r="D47" s="106"/>
      <c r="E47" s="112" t="s">
        <v>80</v>
      </c>
      <c r="F47" s="105">
        <f>'Actual 2026'!C26</f>
        <v>4230</v>
      </c>
      <c r="G47" s="98">
        <f>'Actual 2026'!D26</f>
        <v>0</v>
      </c>
      <c r="H47" s="98">
        <f>'Actual 2026'!E26</f>
        <v>0</v>
      </c>
      <c r="I47" s="98">
        <f>'Actual 2026'!F26</f>
        <v>0</v>
      </c>
      <c r="J47" s="98">
        <f>'Actual 2026'!G26</f>
        <v>0</v>
      </c>
      <c r="K47" s="98">
        <f>'Actual 2026'!H26</f>
        <v>0</v>
      </c>
      <c r="L47" s="98">
        <f>'Actual 2026'!I26</f>
        <v>0</v>
      </c>
      <c r="M47" s="138"/>
    </row>
    <row r="48" spans="2:14" x14ac:dyDescent="0.3">
      <c r="B48" s="79"/>
      <c r="C48" s="78" t="s">
        <v>63</v>
      </c>
      <c r="D48" s="115"/>
      <c r="E48" s="115"/>
      <c r="F48" s="103"/>
      <c r="G48" s="91"/>
      <c r="H48" s="91"/>
      <c r="I48" s="91"/>
      <c r="J48" s="91"/>
      <c r="K48" s="91"/>
      <c r="L48" s="91"/>
      <c r="M48" s="134"/>
    </row>
    <row r="49" spans="2:14" x14ac:dyDescent="0.3">
      <c r="B49" s="79"/>
      <c r="C49" s="78" t="s">
        <v>64</v>
      </c>
      <c r="D49" s="115"/>
      <c r="E49" s="115"/>
      <c r="F49" s="103"/>
      <c r="G49" s="91"/>
      <c r="H49" s="91"/>
      <c r="I49" s="91"/>
      <c r="J49" s="91"/>
      <c r="K49" s="91"/>
      <c r="L49" s="91"/>
      <c r="M49" s="134"/>
    </row>
    <row r="50" spans="2:14" x14ac:dyDescent="0.3">
      <c r="B50" s="79"/>
      <c r="C50" s="78"/>
      <c r="D50" s="115" t="s">
        <v>90</v>
      </c>
      <c r="E50" s="115"/>
      <c r="F50" s="103">
        <v>200</v>
      </c>
      <c r="G50" s="91"/>
      <c r="H50" s="91"/>
      <c r="I50" s="91"/>
      <c r="J50" s="91"/>
      <c r="K50" s="91"/>
      <c r="L50" s="91"/>
      <c r="M50" s="134"/>
    </row>
    <row r="51" spans="2:14" x14ac:dyDescent="0.3">
      <c r="B51" s="79"/>
      <c r="C51" s="78"/>
      <c r="D51" s="115" t="s">
        <v>65</v>
      </c>
      <c r="E51" s="115"/>
      <c r="F51" s="103"/>
      <c r="G51" s="91"/>
      <c r="H51" s="91"/>
      <c r="I51" s="91"/>
      <c r="J51" s="91"/>
      <c r="K51" s="91"/>
      <c r="L51" s="91"/>
      <c r="M51" s="134"/>
    </row>
    <row r="52" spans="2:14" x14ac:dyDescent="0.3">
      <c r="B52" s="79"/>
      <c r="C52" s="78"/>
      <c r="D52" s="115"/>
      <c r="E52" s="115"/>
      <c r="F52" s="103"/>
      <c r="G52" s="91"/>
      <c r="H52" s="91"/>
      <c r="I52" s="91"/>
      <c r="J52" s="91"/>
      <c r="K52" s="91"/>
      <c r="L52" s="91"/>
      <c r="M52" s="134"/>
    </row>
    <row r="53" spans="2:14" ht="15" thickBot="1" x14ac:dyDescent="0.35">
      <c r="B53" s="79"/>
      <c r="C53" s="78"/>
      <c r="D53" s="115" t="s">
        <v>66</v>
      </c>
      <c r="E53" s="115"/>
      <c r="F53" s="103">
        <v>1700</v>
      </c>
      <c r="G53" s="91"/>
      <c r="H53" s="91"/>
      <c r="I53" s="91"/>
      <c r="J53" s="91"/>
      <c r="K53" s="91"/>
      <c r="L53" s="91"/>
      <c r="M53" s="134"/>
    </row>
    <row r="54" spans="2:14" ht="15" thickBot="1" x14ac:dyDescent="0.35">
      <c r="B54" s="88"/>
      <c r="C54" s="108" t="s">
        <v>42</v>
      </c>
      <c r="D54" s="116"/>
      <c r="E54" s="116"/>
      <c r="F54" s="122">
        <f>SUM(F48:F53)</f>
        <v>1900</v>
      </c>
      <c r="G54" s="122">
        <f t="shared" ref="G54:L54" si="8">SUM(G48:G53)</f>
        <v>0</v>
      </c>
      <c r="H54" s="122">
        <f t="shared" si="8"/>
        <v>0</v>
      </c>
      <c r="I54" s="122">
        <f t="shared" si="8"/>
        <v>0</v>
      </c>
      <c r="J54" s="122">
        <f t="shared" si="8"/>
        <v>0</v>
      </c>
      <c r="K54" s="122">
        <f t="shared" si="8"/>
        <v>0</v>
      </c>
      <c r="L54" s="122">
        <f t="shared" si="8"/>
        <v>0</v>
      </c>
      <c r="M54" s="137">
        <f>SUM(F47:L47)-SUM(F54:L54)</f>
        <v>2330</v>
      </c>
      <c r="N54" s="29"/>
    </row>
    <row r="55" spans="2:14" x14ac:dyDescent="0.3">
      <c r="B55" s="99" t="s">
        <v>19</v>
      </c>
      <c r="C55" s="94"/>
      <c r="D55" s="101"/>
      <c r="E55" s="112" t="s">
        <v>80</v>
      </c>
      <c r="F55" s="102">
        <f>'Actual 2026'!C27</f>
        <v>23265</v>
      </c>
      <c r="G55" s="97">
        <f>'Actual 2026'!D27</f>
        <v>0</v>
      </c>
      <c r="H55" s="97">
        <f>'Actual 2026'!E27</f>
        <v>0</v>
      </c>
      <c r="I55" s="97">
        <f>'Actual 2026'!F27</f>
        <v>0</v>
      </c>
      <c r="J55" s="97">
        <f>'Actual 2026'!G27</f>
        <v>0</v>
      </c>
      <c r="K55" s="97">
        <f>'Actual 2026'!H27</f>
        <v>0</v>
      </c>
      <c r="L55" s="97">
        <f>'Actual 2026'!I27</f>
        <v>0</v>
      </c>
      <c r="M55" s="133"/>
    </row>
    <row r="56" spans="2:14" x14ac:dyDescent="0.3">
      <c r="B56" s="79"/>
      <c r="C56" s="78" t="s">
        <v>67</v>
      </c>
      <c r="D56" s="115"/>
      <c r="E56" s="115"/>
      <c r="F56" s="103">
        <v>22000</v>
      </c>
      <c r="G56" s="91"/>
      <c r="H56" s="91"/>
      <c r="I56" s="91"/>
      <c r="J56" s="91"/>
      <c r="K56" s="91"/>
      <c r="L56" s="91"/>
      <c r="M56" s="134"/>
    </row>
    <row r="57" spans="2:14" ht="15" thickBot="1" x14ac:dyDescent="0.35">
      <c r="B57" s="79"/>
      <c r="C57" s="78" t="s">
        <v>68</v>
      </c>
      <c r="D57" s="115"/>
      <c r="E57" s="115"/>
      <c r="F57" s="103"/>
      <c r="G57" s="91"/>
      <c r="H57" s="91"/>
      <c r="I57" s="91"/>
      <c r="J57" s="91"/>
      <c r="K57" s="91"/>
      <c r="L57" s="91"/>
      <c r="M57" s="134"/>
    </row>
    <row r="58" spans="2:14" ht="15" thickBot="1" x14ac:dyDescent="0.35">
      <c r="B58" s="88"/>
      <c r="C58" s="108" t="s">
        <v>42</v>
      </c>
      <c r="D58" s="117"/>
      <c r="E58" s="116"/>
      <c r="F58" s="122">
        <f>SUM(F56:F57)</f>
        <v>22000</v>
      </c>
      <c r="G58" s="122">
        <f t="shared" ref="G58:L58" si="9">SUM(G56:G57)</f>
        <v>0</v>
      </c>
      <c r="H58" s="122">
        <f t="shared" si="9"/>
        <v>0</v>
      </c>
      <c r="I58" s="122">
        <f t="shared" si="9"/>
        <v>0</v>
      </c>
      <c r="J58" s="122">
        <f t="shared" si="9"/>
        <v>0</v>
      </c>
      <c r="K58" s="122">
        <f t="shared" si="9"/>
        <v>0</v>
      </c>
      <c r="L58" s="122">
        <f t="shared" si="9"/>
        <v>0</v>
      </c>
      <c r="M58" s="137">
        <f>SUM(F55:L55)-SUM(F58:L58)</f>
        <v>1265</v>
      </c>
      <c r="N58" s="29"/>
    </row>
    <row r="59" spans="2:14" x14ac:dyDescent="0.3">
      <c r="B59" s="99" t="s">
        <v>20</v>
      </c>
      <c r="C59" s="94"/>
      <c r="D59" s="101"/>
      <c r="E59" s="112" t="s">
        <v>80</v>
      </c>
      <c r="F59" s="105">
        <f>'Actual 2026'!C28</f>
        <v>6345</v>
      </c>
      <c r="G59" s="98">
        <f>'Actual 2026'!D28</f>
        <v>0</v>
      </c>
      <c r="H59" s="98">
        <f>'Actual 2026'!E28</f>
        <v>0</v>
      </c>
      <c r="I59" s="98">
        <f>'Actual 2026'!F28</f>
        <v>0</v>
      </c>
      <c r="J59" s="98">
        <f>'Actual 2026'!G28</f>
        <v>0</v>
      </c>
      <c r="K59" s="98">
        <f>'Actual 2026'!H28</f>
        <v>0</v>
      </c>
      <c r="L59" s="98">
        <f>'Actual 2026'!I28</f>
        <v>0</v>
      </c>
      <c r="M59" s="138"/>
    </row>
    <row r="60" spans="2:14" x14ac:dyDescent="0.3">
      <c r="B60" s="79"/>
      <c r="C60" s="78" t="s">
        <v>69</v>
      </c>
      <c r="D60" s="115"/>
      <c r="E60" s="115"/>
      <c r="F60" s="103"/>
      <c r="G60" s="91"/>
      <c r="H60" s="91"/>
      <c r="I60" s="91"/>
      <c r="J60" s="91"/>
      <c r="K60" s="91"/>
      <c r="L60" s="91"/>
      <c r="M60" s="134"/>
    </row>
    <row r="61" spans="2:14" ht="15" thickBot="1" x14ac:dyDescent="0.35">
      <c r="B61" s="79"/>
      <c r="C61" s="78"/>
      <c r="D61" s="115"/>
      <c r="E61" s="115"/>
      <c r="F61" s="103"/>
      <c r="G61" s="91"/>
      <c r="H61" s="91"/>
      <c r="I61" s="91"/>
      <c r="J61" s="91"/>
      <c r="K61" s="91"/>
      <c r="L61" s="91"/>
      <c r="M61" s="134"/>
    </row>
    <row r="62" spans="2:14" ht="15" thickBot="1" x14ac:dyDescent="0.35">
      <c r="B62" s="88"/>
      <c r="C62" s="108" t="s">
        <v>42</v>
      </c>
      <c r="D62" s="117"/>
      <c r="E62" s="117"/>
      <c r="F62" s="122">
        <f>SUM(F60:F61)</f>
        <v>0</v>
      </c>
      <c r="G62" s="122">
        <f t="shared" ref="G62:L62" si="10">SUM(G60:G61)</f>
        <v>0</v>
      </c>
      <c r="H62" s="122">
        <f t="shared" si="10"/>
        <v>0</v>
      </c>
      <c r="I62" s="122">
        <f t="shared" si="10"/>
        <v>0</v>
      </c>
      <c r="J62" s="122">
        <f t="shared" si="10"/>
        <v>0</v>
      </c>
      <c r="K62" s="122">
        <f t="shared" si="10"/>
        <v>0</v>
      </c>
      <c r="L62" s="122">
        <f t="shared" si="10"/>
        <v>0</v>
      </c>
      <c r="M62" s="137">
        <f>SUM(F59:L59)-SUM(F62:L62)</f>
        <v>6345</v>
      </c>
      <c r="N62" s="29"/>
    </row>
    <row r="63" spans="2:14" ht="15.6" x14ac:dyDescent="0.3">
      <c r="B63" s="67" t="s">
        <v>21</v>
      </c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9"/>
    </row>
    <row r="64" spans="2:14" ht="15" thickBot="1" x14ac:dyDescent="0.35">
      <c r="B64" s="72" t="s">
        <v>2</v>
      </c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4"/>
    </row>
    <row r="65" spans="2:14" x14ac:dyDescent="0.3">
      <c r="B65" s="99" t="s">
        <v>22</v>
      </c>
      <c r="C65" s="94"/>
      <c r="D65" s="101"/>
      <c r="E65" s="112" t="s">
        <v>80</v>
      </c>
      <c r="F65" s="102">
        <f>'Actual 2026'!C32</f>
        <v>30550</v>
      </c>
      <c r="G65" s="97">
        <f>'Actual 2026'!D32</f>
        <v>0</v>
      </c>
      <c r="H65" s="97">
        <f>'Actual 2026'!E32</f>
        <v>0</v>
      </c>
      <c r="I65" s="97">
        <f>'Actual 2026'!F32</f>
        <v>0</v>
      </c>
      <c r="J65" s="97">
        <f>'Actual 2026'!G32</f>
        <v>0</v>
      </c>
      <c r="K65" s="97">
        <f>'Actual 2026'!H32</f>
        <v>0</v>
      </c>
      <c r="L65" s="97">
        <f>'Actual 2026'!I32</f>
        <v>0</v>
      </c>
      <c r="M65" s="133"/>
    </row>
    <row r="66" spans="2:14" ht="15" thickBot="1" x14ac:dyDescent="0.35">
      <c r="B66" s="83"/>
      <c r="C66" s="82" t="s">
        <v>89</v>
      </c>
      <c r="D66" s="118"/>
      <c r="E66" s="118"/>
      <c r="F66" s="103">
        <f>10000</f>
        <v>10000</v>
      </c>
      <c r="G66" s="91"/>
      <c r="H66" s="91"/>
      <c r="I66" s="91"/>
      <c r="J66" s="91"/>
      <c r="K66" s="91"/>
      <c r="L66" s="91"/>
      <c r="M66" s="134"/>
    </row>
    <row r="67" spans="2:14" ht="15" thickBot="1" x14ac:dyDescent="0.35">
      <c r="B67" s="86"/>
      <c r="C67" s="109" t="s">
        <v>42</v>
      </c>
      <c r="D67" s="120"/>
      <c r="E67" s="119"/>
      <c r="F67" s="122">
        <f>F66</f>
        <v>10000</v>
      </c>
      <c r="G67" s="122">
        <f t="shared" ref="G67:L67" si="11">G66</f>
        <v>0</v>
      </c>
      <c r="H67" s="122">
        <f t="shared" si="11"/>
        <v>0</v>
      </c>
      <c r="I67" s="122">
        <f t="shared" si="11"/>
        <v>0</v>
      </c>
      <c r="J67" s="122">
        <f t="shared" si="11"/>
        <v>0</v>
      </c>
      <c r="K67" s="122">
        <f t="shared" si="11"/>
        <v>0</v>
      </c>
      <c r="L67" s="122">
        <f t="shared" si="11"/>
        <v>0</v>
      </c>
      <c r="M67" s="137">
        <f>SUM(F65:L65)-SUM(F67:L67)</f>
        <v>20550</v>
      </c>
      <c r="N67" s="29"/>
    </row>
    <row r="68" spans="2:14" x14ac:dyDescent="0.3">
      <c r="B68" s="99" t="s">
        <v>88</v>
      </c>
      <c r="C68" s="94"/>
      <c r="D68" s="101"/>
      <c r="E68" s="112" t="s">
        <v>80</v>
      </c>
      <c r="F68" s="105">
        <f>'Actual 2026'!C33</f>
        <v>18330</v>
      </c>
      <c r="G68" s="98">
        <f>'Actual 2026'!D33</f>
        <v>0</v>
      </c>
      <c r="H68" s="98">
        <f>'Actual 2026'!E33</f>
        <v>0</v>
      </c>
      <c r="I68" s="98">
        <f>'Actual 2026'!F33</f>
        <v>0</v>
      </c>
      <c r="J68" s="98">
        <f>'Actual 2026'!G33</f>
        <v>0</v>
      </c>
      <c r="K68" s="98">
        <f>'Actual 2026'!H33</f>
        <v>0</v>
      </c>
      <c r="L68" s="98">
        <f>'Actual 2026'!I33</f>
        <v>0</v>
      </c>
      <c r="M68" s="138"/>
    </row>
    <row r="69" spans="2:14" ht="15" thickBot="1" x14ac:dyDescent="0.35">
      <c r="B69" s="83"/>
      <c r="C69" s="82"/>
      <c r="D69" s="118"/>
      <c r="E69" s="118"/>
      <c r="F69" s="103">
        <v>13000</v>
      </c>
      <c r="G69" s="91"/>
      <c r="H69" s="91"/>
      <c r="I69" s="91"/>
      <c r="J69" s="91"/>
      <c r="K69" s="91"/>
      <c r="L69" s="91"/>
      <c r="M69" s="134"/>
    </row>
    <row r="70" spans="2:14" ht="15" thickBot="1" x14ac:dyDescent="0.35">
      <c r="B70" s="86"/>
      <c r="C70" s="109" t="s">
        <v>42</v>
      </c>
      <c r="D70" s="120"/>
      <c r="E70" s="119"/>
      <c r="F70" s="122">
        <f>F69</f>
        <v>13000</v>
      </c>
      <c r="G70" s="122">
        <f t="shared" ref="G70:L70" si="12">G69</f>
        <v>0</v>
      </c>
      <c r="H70" s="122">
        <f t="shared" si="12"/>
        <v>0</v>
      </c>
      <c r="I70" s="122">
        <f t="shared" si="12"/>
        <v>0</v>
      </c>
      <c r="J70" s="122">
        <f t="shared" si="12"/>
        <v>0</v>
      </c>
      <c r="K70" s="122">
        <f t="shared" si="12"/>
        <v>0</v>
      </c>
      <c r="L70" s="122">
        <f t="shared" si="12"/>
        <v>0</v>
      </c>
      <c r="M70" s="137">
        <f>SUM(F68:L68)-SUM(F70:L70)</f>
        <v>5330</v>
      </c>
      <c r="N70" s="29"/>
    </row>
    <row r="71" spans="2:14" x14ac:dyDescent="0.3">
      <c r="B71" s="99" t="s">
        <v>24</v>
      </c>
      <c r="C71" s="94"/>
      <c r="D71" s="101"/>
      <c r="E71" s="112" t="s">
        <v>80</v>
      </c>
      <c r="F71" s="102">
        <f>'Actual 2026'!C34</f>
        <v>48880.000000000007</v>
      </c>
      <c r="G71" s="97">
        <f>'Actual 2026'!D34</f>
        <v>0</v>
      </c>
      <c r="H71" s="97">
        <f>'Actual 2026'!E34</f>
        <v>0</v>
      </c>
      <c r="I71" s="97">
        <f>'Actual 2026'!F34</f>
        <v>0</v>
      </c>
      <c r="J71" s="97">
        <f>'Actual 2026'!G34</f>
        <v>0</v>
      </c>
      <c r="K71" s="97">
        <f>'Actual 2026'!H34</f>
        <v>0</v>
      </c>
      <c r="L71" s="97">
        <f>'Actual 2026'!I34</f>
        <v>0</v>
      </c>
      <c r="M71" s="133"/>
    </row>
    <row r="72" spans="2:14" ht="15" thickBot="1" x14ac:dyDescent="0.35">
      <c r="B72" s="83"/>
      <c r="C72" s="82" t="s">
        <v>91</v>
      </c>
      <c r="D72" s="118"/>
      <c r="E72" s="118"/>
      <c r="F72" s="103">
        <v>48880</v>
      </c>
      <c r="G72" s="91"/>
      <c r="H72" s="91"/>
      <c r="I72" s="91"/>
      <c r="J72" s="91"/>
      <c r="K72" s="91"/>
      <c r="L72" s="91"/>
      <c r="M72" s="134"/>
    </row>
    <row r="73" spans="2:14" ht="15" thickBot="1" x14ac:dyDescent="0.35">
      <c r="B73" s="86"/>
      <c r="C73" s="109" t="s">
        <v>42</v>
      </c>
      <c r="D73" s="120"/>
      <c r="E73" s="119"/>
      <c r="F73" s="122">
        <f>F72</f>
        <v>48880</v>
      </c>
      <c r="G73" s="122">
        <f t="shared" ref="G73:L73" si="13">G72</f>
        <v>0</v>
      </c>
      <c r="H73" s="122">
        <f t="shared" si="13"/>
        <v>0</v>
      </c>
      <c r="I73" s="122">
        <f t="shared" si="13"/>
        <v>0</v>
      </c>
      <c r="J73" s="122">
        <f t="shared" si="13"/>
        <v>0</v>
      </c>
      <c r="K73" s="122">
        <f t="shared" si="13"/>
        <v>0</v>
      </c>
      <c r="L73" s="122">
        <f t="shared" si="13"/>
        <v>0</v>
      </c>
      <c r="M73" s="137">
        <f>SUM(F71:L71)-SUM(F73:L73)</f>
        <v>0</v>
      </c>
      <c r="N73" s="29"/>
    </row>
    <row r="74" spans="2:14" x14ac:dyDescent="0.3">
      <c r="B74" s="99" t="s">
        <v>25</v>
      </c>
      <c r="C74" s="94"/>
      <c r="D74" s="101"/>
      <c r="E74" s="112" t="s">
        <v>80</v>
      </c>
      <c r="F74" s="105">
        <f>'Actual 2026'!C35</f>
        <v>12220.000000000002</v>
      </c>
      <c r="G74" s="98">
        <f>'Actual 2026'!D35</f>
        <v>0</v>
      </c>
      <c r="H74" s="98">
        <f>'Actual 2026'!E35</f>
        <v>0</v>
      </c>
      <c r="I74" s="98">
        <f>'Actual 2026'!F35</f>
        <v>0</v>
      </c>
      <c r="J74" s="98">
        <f>'Actual 2026'!G35</f>
        <v>0</v>
      </c>
      <c r="K74" s="98">
        <f>'Actual 2026'!H35</f>
        <v>0</v>
      </c>
      <c r="L74" s="98">
        <f>'Actual 2026'!I35</f>
        <v>0</v>
      </c>
      <c r="M74" s="138"/>
    </row>
    <row r="75" spans="2:14" ht="15" thickBot="1" x14ac:dyDescent="0.35">
      <c r="B75" s="83"/>
      <c r="C75" s="82" t="s">
        <v>91</v>
      </c>
      <c r="D75" s="118"/>
      <c r="E75" s="118"/>
      <c r="F75" s="103">
        <v>12220</v>
      </c>
      <c r="G75" s="91"/>
      <c r="H75" s="91"/>
      <c r="I75" s="91"/>
      <c r="J75" s="91"/>
      <c r="K75" s="91"/>
      <c r="L75" s="91"/>
      <c r="M75" s="134"/>
    </row>
    <row r="76" spans="2:14" ht="15" thickBot="1" x14ac:dyDescent="0.35">
      <c r="B76" s="95"/>
      <c r="C76" s="110" t="s">
        <v>42</v>
      </c>
      <c r="D76" s="120"/>
      <c r="E76" s="119"/>
      <c r="F76" s="124">
        <f>F75</f>
        <v>12220</v>
      </c>
      <c r="G76" s="124">
        <f t="shared" ref="G76:L76" si="14">G75</f>
        <v>0</v>
      </c>
      <c r="H76" s="124">
        <f t="shared" si="14"/>
        <v>0</v>
      </c>
      <c r="I76" s="124">
        <f t="shared" si="14"/>
        <v>0</v>
      </c>
      <c r="J76" s="124">
        <f t="shared" si="14"/>
        <v>0</v>
      </c>
      <c r="K76" s="124">
        <f t="shared" si="14"/>
        <v>0</v>
      </c>
      <c r="L76" s="124">
        <f t="shared" si="14"/>
        <v>0</v>
      </c>
      <c r="M76" s="137">
        <f>SUM(F74:L74)-SUM(F76:L76)</f>
        <v>0</v>
      </c>
      <c r="N76" s="29"/>
    </row>
    <row r="77" spans="2:14" x14ac:dyDescent="0.3">
      <c r="B77" s="99" t="s">
        <v>26</v>
      </c>
      <c r="C77" s="94"/>
      <c r="D77" s="101"/>
      <c r="E77" s="112" t="s">
        <v>80</v>
      </c>
      <c r="F77" s="102">
        <f>'Actual 2026'!C36</f>
        <v>12220.000000000002</v>
      </c>
      <c r="G77" s="97">
        <f>'Actual 2026'!D36</f>
        <v>0</v>
      </c>
      <c r="H77" s="97">
        <f>'Actual 2026'!E36</f>
        <v>0</v>
      </c>
      <c r="I77" s="97">
        <f>'Actual 2026'!F36</f>
        <v>0</v>
      </c>
      <c r="J77" s="97">
        <f>'Actual 2026'!G36</f>
        <v>0</v>
      </c>
      <c r="K77" s="97">
        <f>'Actual 2026'!H36</f>
        <v>0</v>
      </c>
      <c r="L77" s="97">
        <f>'Actual 2026'!I36</f>
        <v>0</v>
      </c>
      <c r="M77" s="133"/>
    </row>
    <row r="78" spans="2:14" ht="15" thickBot="1" x14ac:dyDescent="0.35">
      <c r="B78" s="84"/>
      <c r="C78" s="85"/>
      <c r="D78" s="118"/>
      <c r="E78" s="118"/>
      <c r="F78" s="104">
        <v>11000</v>
      </c>
      <c r="G78" s="92"/>
      <c r="H78" s="92"/>
      <c r="I78" s="92"/>
      <c r="J78" s="92"/>
      <c r="K78" s="92"/>
      <c r="L78" s="92"/>
      <c r="M78" s="136"/>
    </row>
    <row r="79" spans="2:14" ht="15" thickBot="1" x14ac:dyDescent="0.35">
      <c r="B79" s="86"/>
      <c r="C79" s="109" t="s">
        <v>42</v>
      </c>
      <c r="D79" s="120"/>
      <c r="E79" s="120"/>
      <c r="F79" s="122">
        <f>F78</f>
        <v>11000</v>
      </c>
      <c r="G79" s="122">
        <f t="shared" ref="G79:L79" si="15">G78</f>
        <v>0</v>
      </c>
      <c r="H79" s="122">
        <f t="shared" si="15"/>
        <v>0</v>
      </c>
      <c r="I79" s="122">
        <f t="shared" si="15"/>
        <v>0</v>
      </c>
      <c r="J79" s="122">
        <f t="shared" si="15"/>
        <v>0</v>
      </c>
      <c r="K79" s="122">
        <f t="shared" si="15"/>
        <v>0</v>
      </c>
      <c r="L79" s="122">
        <f t="shared" si="15"/>
        <v>0</v>
      </c>
      <c r="M79" s="137">
        <f>SUM(F77:L77)-SUM(F79:L79)</f>
        <v>1220.0000000000018</v>
      </c>
      <c r="N79" s="29"/>
    </row>
  </sheetData>
  <mergeCells count="14">
    <mergeCell ref="E8:E11"/>
    <mergeCell ref="E13:E18"/>
    <mergeCell ref="E20:E24"/>
    <mergeCell ref="E26:E28"/>
    <mergeCell ref="F3:L3"/>
    <mergeCell ref="B5:M5"/>
    <mergeCell ref="B37:M37"/>
    <mergeCell ref="B6:M6"/>
    <mergeCell ref="B38:M38"/>
    <mergeCell ref="B63:M63"/>
    <mergeCell ref="B4:D4"/>
    <mergeCell ref="E30:E32"/>
    <mergeCell ref="E34:E36"/>
    <mergeCell ref="B64:M64"/>
  </mergeCells>
  <conditionalFormatting sqref="M1:M3 M5:M1048576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44315-F1EB-4235-8162-F93B73AEDF1D}">
  <dimension ref="B2:C75"/>
  <sheetViews>
    <sheetView topLeftCell="A36" workbookViewId="0">
      <selection activeCell="B64" sqref="B64"/>
    </sheetView>
  </sheetViews>
  <sheetFormatPr defaultRowHeight="14.4" x14ac:dyDescent="0.3"/>
  <sheetData>
    <row r="2" spans="2:3" ht="15" thickBot="1" x14ac:dyDescent="0.35"/>
    <row r="3" spans="2:3" x14ac:dyDescent="0.3">
      <c r="B3" s="99" t="s">
        <v>10</v>
      </c>
      <c r="C3" s="96"/>
    </row>
    <row r="4" spans="2:3" x14ac:dyDescent="0.3">
      <c r="B4" s="75"/>
      <c r="C4" s="1" t="s">
        <v>46</v>
      </c>
    </row>
    <row r="5" spans="2:3" x14ac:dyDescent="0.3">
      <c r="B5" s="75"/>
      <c r="C5" s="1" t="s">
        <v>81</v>
      </c>
    </row>
    <row r="6" spans="2:3" ht="15" thickBot="1" x14ac:dyDescent="0.35">
      <c r="B6" s="76"/>
      <c r="C6" s="77" t="s">
        <v>47</v>
      </c>
    </row>
    <row r="7" spans="2:3" ht="15" thickBot="1" x14ac:dyDescent="0.35">
      <c r="B7" s="87"/>
      <c r="C7" s="107" t="s">
        <v>42</v>
      </c>
    </row>
    <row r="8" spans="2:3" x14ac:dyDescent="0.3">
      <c r="B8" s="99" t="s">
        <v>11</v>
      </c>
      <c r="C8" s="94"/>
    </row>
    <row r="9" spans="2:3" x14ac:dyDescent="0.3">
      <c r="B9" s="75"/>
      <c r="C9" s="1" t="s">
        <v>48</v>
      </c>
    </row>
    <row r="10" spans="2:3" x14ac:dyDescent="0.3">
      <c r="B10" s="75"/>
      <c r="C10" s="1" t="s">
        <v>49</v>
      </c>
    </row>
    <row r="11" spans="2:3" x14ac:dyDescent="0.3">
      <c r="B11" s="75"/>
      <c r="C11" s="1" t="s">
        <v>50</v>
      </c>
    </row>
    <row r="12" spans="2:3" x14ac:dyDescent="0.3">
      <c r="B12" s="75"/>
      <c r="C12" s="1" t="s">
        <v>51</v>
      </c>
    </row>
    <row r="13" spans="2:3" ht="15" thickBot="1" x14ac:dyDescent="0.35">
      <c r="B13" s="76"/>
      <c r="C13" s="77" t="s">
        <v>78</v>
      </c>
    </row>
    <row r="14" spans="2:3" ht="15" thickBot="1" x14ac:dyDescent="0.35">
      <c r="B14" s="87"/>
      <c r="C14" s="107" t="s">
        <v>42</v>
      </c>
    </row>
    <row r="15" spans="2:3" x14ac:dyDescent="0.3">
      <c r="B15" s="99" t="s">
        <v>12</v>
      </c>
      <c r="C15" s="94"/>
    </row>
    <row r="16" spans="2:3" x14ac:dyDescent="0.3">
      <c r="B16" s="75"/>
      <c r="C16" s="1" t="s">
        <v>52</v>
      </c>
    </row>
    <row r="17" spans="2:3" x14ac:dyDescent="0.3">
      <c r="B17" s="75"/>
      <c r="C17" s="1" t="s">
        <v>53</v>
      </c>
    </row>
    <row r="18" spans="2:3" x14ac:dyDescent="0.3">
      <c r="B18" s="75"/>
      <c r="C18" s="1" t="s">
        <v>54</v>
      </c>
    </row>
    <row r="19" spans="2:3" ht="15" thickBot="1" x14ac:dyDescent="0.35">
      <c r="B19" s="75"/>
      <c r="C19" s="1" t="s">
        <v>55</v>
      </c>
    </row>
    <row r="20" spans="2:3" ht="15" thickBot="1" x14ac:dyDescent="0.35">
      <c r="B20" s="87"/>
      <c r="C20" s="107" t="s">
        <v>42</v>
      </c>
    </row>
    <row r="21" spans="2:3" x14ac:dyDescent="0.3">
      <c r="B21" s="99" t="s">
        <v>13</v>
      </c>
      <c r="C21" s="94"/>
    </row>
    <row r="22" spans="2:3" x14ac:dyDescent="0.3">
      <c r="B22" s="75"/>
      <c r="C22" s="1" t="s">
        <v>56</v>
      </c>
    </row>
    <row r="23" spans="2:3" ht="15" thickBot="1" x14ac:dyDescent="0.35">
      <c r="B23" s="75"/>
      <c r="C23" s="1" t="s">
        <v>57</v>
      </c>
    </row>
    <row r="24" spans="2:3" ht="15" thickBot="1" x14ac:dyDescent="0.35">
      <c r="B24" s="87"/>
      <c r="C24" s="107" t="s">
        <v>42</v>
      </c>
    </row>
    <row r="25" spans="2:3" x14ac:dyDescent="0.3">
      <c r="B25" s="99" t="s">
        <v>14</v>
      </c>
      <c r="C25" s="94"/>
    </row>
    <row r="26" spans="2:3" x14ac:dyDescent="0.3">
      <c r="B26" s="75"/>
      <c r="C26" s="1" t="s">
        <v>58</v>
      </c>
    </row>
    <row r="27" spans="2:3" ht="15" thickBot="1" x14ac:dyDescent="0.35">
      <c r="B27" s="75"/>
      <c r="C27" s="1" t="s">
        <v>59</v>
      </c>
    </row>
    <row r="28" spans="2:3" ht="15" thickBot="1" x14ac:dyDescent="0.35">
      <c r="B28" s="87"/>
      <c r="C28" s="107" t="s">
        <v>42</v>
      </c>
    </row>
    <row r="29" spans="2:3" x14ac:dyDescent="0.3">
      <c r="B29" s="99" t="s">
        <v>15</v>
      </c>
      <c r="C29" s="94"/>
    </row>
    <row r="30" spans="2:3" x14ac:dyDescent="0.3">
      <c r="B30" s="75"/>
      <c r="C30" s="1"/>
    </row>
    <row r="31" spans="2:3" ht="15" thickBot="1" x14ac:dyDescent="0.35">
      <c r="B31" s="75"/>
      <c r="C31" s="1"/>
    </row>
    <row r="32" spans="2:3" ht="15" thickBot="1" x14ac:dyDescent="0.35">
      <c r="B32" s="87"/>
      <c r="C32" s="107" t="s">
        <v>42</v>
      </c>
    </row>
    <row r="34" spans="2:3" ht="15" thickBot="1" x14ac:dyDescent="0.35"/>
    <row r="35" spans="2:3" x14ac:dyDescent="0.3">
      <c r="B35" s="99" t="s">
        <v>16</v>
      </c>
      <c r="C35" s="94"/>
    </row>
    <row r="36" spans="2:3" x14ac:dyDescent="0.3">
      <c r="B36" s="79"/>
      <c r="C36" s="78" t="s">
        <v>79</v>
      </c>
    </row>
    <row r="37" spans="2:3" ht="15" thickBot="1" x14ac:dyDescent="0.35">
      <c r="B37" s="80"/>
      <c r="C37" s="81" t="s">
        <v>60</v>
      </c>
    </row>
    <row r="38" spans="2:3" ht="15" thickBot="1" x14ac:dyDescent="0.35">
      <c r="B38" s="88"/>
      <c r="C38" s="108" t="s">
        <v>42</v>
      </c>
    </row>
    <row r="39" spans="2:3" x14ac:dyDescent="0.3">
      <c r="B39" s="99" t="s">
        <v>17</v>
      </c>
      <c r="C39" s="94"/>
    </row>
    <row r="40" spans="2:3" x14ac:dyDescent="0.3">
      <c r="B40" s="79"/>
      <c r="C40" s="78" t="s">
        <v>61</v>
      </c>
    </row>
    <row r="41" spans="2:3" ht="15" thickBot="1" x14ac:dyDescent="0.35">
      <c r="B41" s="79"/>
      <c r="C41" s="78" t="s">
        <v>62</v>
      </c>
    </row>
    <row r="42" spans="2:3" ht="15" thickBot="1" x14ac:dyDescent="0.35">
      <c r="B42" s="88"/>
      <c r="C42" s="108" t="s">
        <v>42</v>
      </c>
    </row>
    <row r="43" spans="2:3" x14ac:dyDescent="0.3">
      <c r="B43" s="99" t="s">
        <v>18</v>
      </c>
      <c r="C43" s="94"/>
    </row>
    <row r="44" spans="2:3" x14ac:dyDescent="0.3">
      <c r="B44" s="79"/>
      <c r="C44" s="78" t="s">
        <v>63</v>
      </c>
    </row>
    <row r="45" spans="2:3" x14ac:dyDescent="0.3">
      <c r="B45" s="79"/>
      <c r="C45" s="78" t="s">
        <v>64</v>
      </c>
    </row>
    <row r="46" spans="2:3" x14ac:dyDescent="0.3">
      <c r="B46" s="79"/>
      <c r="C46" s="78"/>
    </row>
    <row r="47" spans="2:3" x14ac:dyDescent="0.3">
      <c r="B47" s="79"/>
      <c r="C47" s="78"/>
    </row>
    <row r="48" spans="2:3" x14ac:dyDescent="0.3">
      <c r="B48" s="79"/>
      <c r="C48" s="78"/>
    </row>
    <row r="49" spans="2:3" ht="15" thickBot="1" x14ac:dyDescent="0.35">
      <c r="B49" s="79"/>
      <c r="C49" s="78"/>
    </row>
    <row r="50" spans="2:3" ht="15" thickBot="1" x14ac:dyDescent="0.35">
      <c r="B50" s="88"/>
      <c r="C50" s="108" t="s">
        <v>42</v>
      </c>
    </row>
    <row r="51" spans="2:3" x14ac:dyDescent="0.3">
      <c r="B51" s="99" t="s">
        <v>19</v>
      </c>
      <c r="C51" s="94"/>
    </row>
    <row r="52" spans="2:3" x14ac:dyDescent="0.3">
      <c r="B52" s="79"/>
      <c r="C52" s="78" t="s">
        <v>67</v>
      </c>
    </row>
    <row r="53" spans="2:3" ht="15" thickBot="1" x14ac:dyDescent="0.35">
      <c r="B53" s="79"/>
      <c r="C53" s="78" t="s">
        <v>68</v>
      </c>
    </row>
    <row r="54" spans="2:3" ht="15" thickBot="1" x14ac:dyDescent="0.35">
      <c r="B54" s="88"/>
      <c r="C54" s="108" t="s">
        <v>42</v>
      </c>
    </row>
    <row r="55" spans="2:3" x14ac:dyDescent="0.3">
      <c r="B55" s="99" t="s">
        <v>20</v>
      </c>
      <c r="C55" s="94"/>
    </row>
    <row r="56" spans="2:3" x14ac:dyDescent="0.3">
      <c r="B56" s="79"/>
      <c r="C56" s="78" t="s">
        <v>69</v>
      </c>
    </row>
    <row r="57" spans="2:3" ht="15" thickBot="1" x14ac:dyDescent="0.35">
      <c r="B57" s="79"/>
      <c r="C57" s="78"/>
    </row>
    <row r="58" spans="2:3" ht="15" thickBot="1" x14ac:dyDescent="0.35">
      <c r="B58" s="88"/>
      <c r="C58" s="108" t="s">
        <v>42</v>
      </c>
    </row>
    <row r="60" spans="2:3" ht="15" thickBot="1" x14ac:dyDescent="0.35"/>
    <row r="61" spans="2:3" x14ac:dyDescent="0.3">
      <c r="B61" s="99" t="s">
        <v>22</v>
      </c>
      <c r="C61" s="94"/>
    </row>
    <row r="62" spans="2:3" ht="15" thickBot="1" x14ac:dyDescent="0.35">
      <c r="B62" s="83"/>
      <c r="C62" s="82"/>
    </row>
    <row r="63" spans="2:3" ht="15" thickBot="1" x14ac:dyDescent="0.35">
      <c r="B63" s="86"/>
      <c r="C63" s="109" t="s">
        <v>42</v>
      </c>
    </row>
    <row r="64" spans="2:3" x14ac:dyDescent="0.3">
      <c r="B64" s="99" t="s">
        <v>88</v>
      </c>
      <c r="C64" s="94"/>
    </row>
    <row r="65" spans="2:3" ht="15" thickBot="1" x14ac:dyDescent="0.35">
      <c r="B65" s="83"/>
      <c r="C65" s="82"/>
    </row>
    <row r="66" spans="2:3" ht="15" thickBot="1" x14ac:dyDescent="0.35">
      <c r="B66" s="86"/>
      <c r="C66" s="109" t="s">
        <v>42</v>
      </c>
    </row>
    <row r="67" spans="2:3" x14ac:dyDescent="0.3">
      <c r="B67" s="99" t="s">
        <v>24</v>
      </c>
      <c r="C67" s="94"/>
    </row>
    <row r="68" spans="2:3" ht="15" thickBot="1" x14ac:dyDescent="0.35">
      <c r="B68" s="83"/>
      <c r="C68" s="82" t="s">
        <v>87</v>
      </c>
    </row>
    <row r="69" spans="2:3" ht="15" thickBot="1" x14ac:dyDescent="0.35">
      <c r="B69" s="86"/>
      <c r="C69" s="109" t="s">
        <v>42</v>
      </c>
    </row>
    <row r="70" spans="2:3" x14ac:dyDescent="0.3">
      <c r="B70" s="99" t="s">
        <v>25</v>
      </c>
      <c r="C70" s="94"/>
    </row>
    <row r="71" spans="2:3" ht="15" thickBot="1" x14ac:dyDescent="0.35">
      <c r="B71" s="83"/>
      <c r="C71" s="82"/>
    </row>
    <row r="72" spans="2:3" ht="15" thickBot="1" x14ac:dyDescent="0.35">
      <c r="B72" s="95"/>
      <c r="C72" s="110" t="s">
        <v>42</v>
      </c>
    </row>
    <row r="73" spans="2:3" x14ac:dyDescent="0.3">
      <c r="B73" s="99" t="s">
        <v>26</v>
      </c>
      <c r="C73" s="94"/>
    </row>
    <row r="74" spans="2:3" ht="15" thickBot="1" x14ac:dyDescent="0.35">
      <c r="B74" s="84"/>
      <c r="C74" s="85"/>
    </row>
    <row r="75" spans="2:3" ht="15" thickBot="1" x14ac:dyDescent="0.35">
      <c r="B75" s="86"/>
      <c r="C75" s="10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Budget</vt:lpstr>
      <vt:lpstr>Actual 2026</vt:lpstr>
      <vt:lpstr>Expense and Savings</vt:lpstr>
      <vt:lpstr>Detailed Expenses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Kumar, Swati</dc:creator>
  <cp:lastModifiedBy>Raja Kumar, Swati</cp:lastModifiedBy>
  <dcterms:created xsi:type="dcterms:W3CDTF">2015-06-05T18:17:20Z</dcterms:created>
  <dcterms:modified xsi:type="dcterms:W3CDTF">2026-06-04T13:04:37Z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a0f89cb5-682d-4be4-b0e0-739c9b4a93d4_Enabled">
    <vt:lpwstr>true</vt:lpwstr>
  </property>
  <property fmtid="{D5CDD505-2E9C-101B-9397-08002B2CF9AE}" pid="5" name="MSIP_Label_a0f89cb5-682d-4be4-b0e0-739c9b4a93d4_SetDate">
    <vt:lpwstr>2026-06-04T06:06:18Z</vt:lpwstr>
  </property>
  <property fmtid="{D5CDD505-2E9C-101B-9397-08002B2CF9AE}" pid="6" name="MSIP_Label_a0f89cb5-682d-4be4-b0e0-739c9b4a93d4_Method">
    <vt:lpwstr>Standard</vt:lpwstr>
  </property>
  <property fmtid="{D5CDD505-2E9C-101B-9397-08002B2CF9AE}" pid="7" name="MSIP_Label_a0f89cb5-682d-4be4-b0e0-739c9b4a93d4_Name">
    <vt:lpwstr>Not Classified</vt:lpwstr>
  </property>
  <property fmtid="{D5CDD505-2E9C-101B-9397-08002B2CF9AE}" pid="8" name="MSIP_Label_a0f89cb5-682d-4be4-b0e0-739c9b4a93d4_SiteId">
    <vt:lpwstr>38305e12-e15d-4ee8-88b9-c4db1c477d76</vt:lpwstr>
  </property>
  <property fmtid="{D5CDD505-2E9C-101B-9397-08002B2CF9AE}" pid="9" name="MSIP_Label_a0f89cb5-682d-4be4-b0e0-739c9b4a93d4_ActionId">
    <vt:lpwstr>13bb11a7-5dc6-48d3-87f0-1dd81ee3a456</vt:lpwstr>
  </property>
  <property fmtid="{D5CDD505-2E9C-101B-9397-08002B2CF9AE}" pid="10" name="MSIP_Label_a0f89cb5-682d-4be4-b0e0-739c9b4a93d4_ContentBits">
    <vt:lpwstr>0</vt:lpwstr>
  </property>
  <property fmtid="{D5CDD505-2E9C-101B-9397-08002B2CF9AE}" pid="11" name="MSIP_Label_a0f89cb5-682d-4be4-b0e0-739c9b4a93d4_Tag">
    <vt:lpwstr>10, 3, 0, 1</vt:lpwstr>
  </property>
</Properties>
</file>